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NU\Commitees\New bylawys 2023\Draft #16 (3-3-2025) MATH Electives\"/>
    </mc:Choice>
  </mc:AlternateContent>
  <xr:revisionPtr revIDLastSave="0" documentId="13_ncr:1_{D292F6CC-5FAA-45CA-BF3C-06EA223E4D57}" xr6:coauthVersionLast="47" xr6:coauthVersionMax="47" xr10:uidLastSave="{00000000-0000-0000-0000-000000000000}"/>
  <bookViews>
    <workbookView xWindow="28680" yWindow="-120" windowWidth="20730" windowHeight="11040" tabRatio="877" firstSheet="2" activeTab="2" xr2:uid="{118EE257-1C10-42FF-8D33-0ED551A26145}"/>
  </bookViews>
  <sheets>
    <sheet name="Major-1 (NARS)" sheetId="33" r:id="rId1"/>
    <sheet name="Major-1 (Competencies)" sheetId="29" r:id="rId2"/>
    <sheet name="CCE Major-1 (8 S)" sheetId="11" r:id="rId3"/>
    <sheet name="CCE Major-1 (7 S)" sheetId="24" r:id="rId4"/>
    <sheet name="CE Minor" sheetId="28" r:id="rId5"/>
    <sheet name="List of Courses" sheetId="15" r:id="rId6"/>
    <sheet name="Major-2 (NARS)" sheetId="34" r:id="rId7"/>
    <sheet name="Major-2 (Competencies)" sheetId="30" r:id="rId8"/>
    <sheet name="CCE Major-2 (8 S)" sheetId="26" r:id="rId9"/>
    <sheet name="CCE Major-2 (7 S) (new)" sheetId="27" r:id="rId10"/>
    <sheet name="Statistics" sheetId="32" r:id="rId11"/>
  </sheets>
  <definedNames>
    <definedName name="_xlnm._FilterDatabase" localSheetId="0" hidden="1">'Major-1 (NARS)'!$A$2:$U$56</definedName>
    <definedName name="_xlnm._FilterDatabase" localSheetId="6" hidden="1">'Major-2 (NARS)'!$A$2:$U$56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G76" i="27" l="1"/>
  <c r="AF76" i="27"/>
  <c r="AE76" i="27"/>
  <c r="AD76" i="27"/>
  <c r="AC76" i="27"/>
  <c r="AB76" i="27"/>
  <c r="AA76" i="27"/>
  <c r="Z76" i="27"/>
  <c r="Y76" i="27"/>
  <c r="X76" i="27"/>
  <c r="W76" i="27"/>
  <c r="V76" i="27"/>
  <c r="U76" i="27"/>
  <c r="T76" i="27"/>
  <c r="S76" i="27"/>
  <c r="AG75" i="27"/>
  <c r="AF75" i="27"/>
  <c r="AE75" i="27"/>
  <c r="AD75" i="27"/>
  <c r="AC75" i="27"/>
  <c r="AB75" i="27"/>
  <c r="AA75" i="27"/>
  <c r="Z75" i="27"/>
  <c r="Y75" i="27"/>
  <c r="X75" i="27"/>
  <c r="W75" i="27"/>
  <c r="V75" i="27"/>
  <c r="U75" i="27"/>
  <c r="T75" i="27"/>
  <c r="S75" i="27"/>
  <c r="AG74" i="27"/>
  <c r="AF74" i="27"/>
  <c r="AE74" i="27"/>
  <c r="AD74" i="27"/>
  <c r="AC74" i="27"/>
  <c r="AB74" i="27"/>
  <c r="AA74" i="27"/>
  <c r="Z74" i="27"/>
  <c r="Y74" i="27"/>
  <c r="X74" i="27"/>
  <c r="W74" i="27"/>
  <c r="V74" i="27"/>
  <c r="U74" i="27"/>
  <c r="T74" i="27"/>
  <c r="S74" i="27"/>
  <c r="AG76" i="26"/>
  <c r="AF76" i="26"/>
  <c r="AE76" i="26"/>
  <c r="AD76" i="26"/>
  <c r="AC76" i="26"/>
  <c r="AB76" i="26"/>
  <c r="AA76" i="26"/>
  <c r="Z76" i="26"/>
  <c r="Y76" i="26"/>
  <c r="X76" i="26"/>
  <c r="W76" i="26"/>
  <c r="V76" i="26"/>
  <c r="U76" i="26"/>
  <c r="T76" i="26"/>
  <c r="S76" i="26"/>
  <c r="AG75" i="26"/>
  <c r="AF75" i="26"/>
  <c r="AE75" i="26"/>
  <c r="AD75" i="26"/>
  <c r="AC75" i="26"/>
  <c r="AB75" i="26"/>
  <c r="AA75" i="26"/>
  <c r="Z75" i="26"/>
  <c r="Y75" i="26"/>
  <c r="X75" i="26"/>
  <c r="W75" i="26"/>
  <c r="V75" i="26"/>
  <c r="U75" i="26"/>
  <c r="T75" i="26"/>
  <c r="S75" i="26"/>
  <c r="AG74" i="26"/>
  <c r="AF74" i="26"/>
  <c r="AE74" i="26"/>
  <c r="AD74" i="26"/>
  <c r="AC74" i="26"/>
  <c r="AB74" i="26"/>
  <c r="AA74" i="26"/>
  <c r="Z74" i="26"/>
  <c r="Y74" i="26"/>
  <c r="X74" i="26"/>
  <c r="W74" i="26"/>
  <c r="V74" i="26"/>
  <c r="U74" i="26"/>
  <c r="T74" i="26"/>
  <c r="S74" i="26"/>
  <c r="AG76" i="24"/>
  <c r="AF76" i="24"/>
  <c r="AE76" i="24"/>
  <c r="AD76" i="24"/>
  <c r="AC76" i="24"/>
  <c r="AB76" i="24"/>
  <c r="AA76" i="24"/>
  <c r="Z76" i="24"/>
  <c r="Y76" i="24"/>
  <c r="X76" i="24"/>
  <c r="W76" i="24"/>
  <c r="V76" i="24"/>
  <c r="U76" i="24"/>
  <c r="T76" i="24"/>
  <c r="S76" i="24"/>
  <c r="AG75" i="24"/>
  <c r="AF75" i="24"/>
  <c r="AE75" i="24"/>
  <c r="AD75" i="24"/>
  <c r="AC75" i="24"/>
  <c r="AB75" i="24"/>
  <c r="AA75" i="24"/>
  <c r="Z75" i="24"/>
  <c r="Y75" i="24"/>
  <c r="X75" i="24"/>
  <c r="W75" i="24"/>
  <c r="V75" i="24"/>
  <c r="U75" i="24"/>
  <c r="T75" i="24"/>
  <c r="S75" i="24"/>
  <c r="AG74" i="24"/>
  <c r="AF74" i="24"/>
  <c r="AE74" i="24"/>
  <c r="AD74" i="24"/>
  <c r="AC74" i="24"/>
  <c r="AB74" i="24"/>
  <c r="AA74" i="24"/>
  <c r="Z74" i="24"/>
  <c r="Y74" i="24"/>
  <c r="X74" i="24"/>
  <c r="W74" i="24"/>
  <c r="V74" i="24"/>
  <c r="U74" i="24"/>
  <c r="T74" i="24"/>
  <c r="S74" i="24"/>
  <c r="AG75" i="11"/>
  <c r="AG76" i="11"/>
  <c r="AG74" i="11"/>
  <c r="AF75" i="11"/>
  <c r="AF76" i="11"/>
  <c r="AF74" i="11"/>
  <c r="AE75" i="11"/>
  <c r="AE76" i="11"/>
  <c r="AE74" i="11"/>
  <c r="AD75" i="11"/>
  <c r="AD76" i="11"/>
  <c r="AD74" i="11"/>
  <c r="AC75" i="11"/>
  <c r="AC76" i="11"/>
  <c r="AC74" i="11"/>
  <c r="AB75" i="11"/>
  <c r="AB76" i="11"/>
  <c r="AB74" i="11"/>
  <c r="Z75" i="11"/>
  <c r="Z76" i="11"/>
  <c r="Z74" i="11"/>
  <c r="Y75" i="11"/>
  <c r="Y76" i="11"/>
  <c r="Y74" i="11"/>
  <c r="X75" i="11"/>
  <c r="X76" i="11"/>
  <c r="X74" i="11"/>
  <c r="W75" i="11"/>
  <c r="W76" i="11"/>
  <c r="W74" i="11"/>
  <c r="V75" i="11"/>
  <c r="V76" i="11"/>
  <c r="V74" i="11"/>
  <c r="U75" i="11"/>
  <c r="U76" i="11"/>
  <c r="U74" i="11"/>
  <c r="T75" i="11"/>
  <c r="T76" i="11"/>
  <c r="T74" i="11"/>
  <c r="S76" i="11"/>
  <c r="S75" i="11"/>
  <c r="S74" i="11"/>
  <c r="AA76" i="11"/>
  <c r="AA75" i="11"/>
  <c r="AA74" i="11"/>
  <c r="J16" i="15"/>
  <c r="J17" i="15"/>
  <c r="J18" i="15"/>
  <c r="AM37" i="30"/>
  <c r="AM36" i="30"/>
  <c r="AM35" i="30"/>
  <c r="AM35" i="29"/>
  <c r="AM36" i="29"/>
  <c r="AM37" i="29"/>
  <c r="AM44" i="29"/>
  <c r="AM45" i="29"/>
  <c r="AM46" i="29"/>
  <c r="N55" i="34"/>
  <c r="F59" i="29" l="1"/>
  <c r="D21" i="30" l="1"/>
  <c r="D10" i="30"/>
  <c r="T20" i="26"/>
  <c r="Q55" i="34"/>
  <c r="Q56" i="34" s="1"/>
  <c r="U55" i="34"/>
  <c r="U56" i="34" s="1"/>
  <c r="T55" i="34"/>
  <c r="T56" i="34" s="1"/>
  <c r="S55" i="34"/>
  <c r="S56" i="34" s="1"/>
  <c r="R55" i="34"/>
  <c r="R56" i="34" s="1"/>
  <c r="P55" i="34"/>
  <c r="P56" i="34" s="1"/>
  <c r="O55" i="34"/>
  <c r="O56" i="34" s="1"/>
  <c r="N56" i="34"/>
  <c r="M55" i="34"/>
  <c r="M56" i="34" s="1"/>
  <c r="L55" i="34"/>
  <c r="L56" i="34" s="1"/>
  <c r="K55" i="34"/>
  <c r="K56" i="34" s="1"/>
  <c r="J55" i="34"/>
  <c r="J56" i="34" s="1"/>
  <c r="I55" i="34"/>
  <c r="I56" i="34" s="1"/>
  <c r="I55" i="33"/>
  <c r="I56" i="33" s="1"/>
  <c r="J55" i="33"/>
  <c r="J56" i="33" s="1"/>
  <c r="K55" i="33"/>
  <c r="K56" i="33" s="1"/>
  <c r="L55" i="33"/>
  <c r="L56" i="33" s="1"/>
  <c r="M55" i="33"/>
  <c r="M56" i="33" s="1"/>
  <c r="N55" i="33"/>
  <c r="N56" i="33" s="1"/>
  <c r="R55" i="33"/>
  <c r="R56" i="33" s="1"/>
  <c r="U55" i="33"/>
  <c r="U56" i="33" s="1"/>
  <c r="T55" i="33"/>
  <c r="T56" i="33" s="1"/>
  <c r="S55" i="33"/>
  <c r="S56" i="33" s="1"/>
  <c r="Q55" i="33"/>
  <c r="Q56" i="33" s="1"/>
  <c r="P55" i="33"/>
  <c r="P56" i="33" s="1"/>
  <c r="O55" i="33"/>
  <c r="O56" i="33" s="1"/>
  <c r="E46" i="29"/>
  <c r="H25" i="32"/>
  <c r="H24" i="32"/>
  <c r="H23" i="32"/>
  <c r="H22" i="32"/>
  <c r="H21" i="32"/>
  <c r="H20" i="32"/>
  <c r="H19" i="32"/>
  <c r="F25" i="32"/>
  <c r="F24" i="32"/>
  <c r="F23" i="32"/>
  <c r="F22" i="32"/>
  <c r="F21" i="32"/>
  <c r="F20" i="32"/>
  <c r="F19" i="32"/>
  <c r="G25" i="32"/>
  <c r="G24" i="32"/>
  <c r="G23" i="32"/>
  <c r="G22" i="32"/>
  <c r="G21" i="32"/>
  <c r="G20" i="32"/>
  <c r="G19" i="32"/>
  <c r="E25" i="32"/>
  <c r="E24" i="32"/>
  <c r="E23" i="32"/>
  <c r="E22" i="32"/>
  <c r="E21" i="32"/>
  <c r="E20" i="32"/>
  <c r="E19" i="32"/>
  <c r="O58" i="33" l="1"/>
  <c r="I58" i="33"/>
  <c r="I59" i="33"/>
  <c r="O59" i="33"/>
  <c r="O59" i="34"/>
  <c r="I58" i="34"/>
  <c r="O58" i="34"/>
  <c r="I59" i="34"/>
  <c r="H26" i="32"/>
  <c r="M24" i="32" s="1"/>
  <c r="F26" i="32"/>
  <c r="K24" i="32" s="1"/>
  <c r="G26" i="32"/>
  <c r="E26" i="32"/>
  <c r="AM5" i="30"/>
  <c r="AM6" i="30"/>
  <c r="AM7" i="30"/>
  <c r="AM8" i="30"/>
  <c r="AM9" i="30"/>
  <c r="AM10" i="30"/>
  <c r="AM11" i="30"/>
  <c r="AM12" i="30"/>
  <c r="AM13" i="30"/>
  <c r="AM14" i="30"/>
  <c r="AM15" i="30"/>
  <c r="AM16" i="30"/>
  <c r="AM17" i="30"/>
  <c r="AM18" i="30"/>
  <c r="AM19" i="30"/>
  <c r="AM20" i="30"/>
  <c r="AM21" i="30"/>
  <c r="AM22" i="30"/>
  <c r="AM23" i="30"/>
  <c r="AM24" i="30"/>
  <c r="AM25" i="30"/>
  <c r="AM26" i="30"/>
  <c r="AM27" i="30"/>
  <c r="AM28" i="30"/>
  <c r="AM29" i="30"/>
  <c r="AM30" i="30"/>
  <c r="AM31" i="30"/>
  <c r="AM32" i="30"/>
  <c r="AM33" i="30"/>
  <c r="AM34" i="30"/>
  <c r="AM38" i="30"/>
  <c r="AM39" i="30"/>
  <c r="AM40" i="30"/>
  <c r="AM41" i="30"/>
  <c r="AM42" i="30"/>
  <c r="AM43" i="30"/>
  <c r="AM44" i="30"/>
  <c r="AM45" i="30"/>
  <c r="AM46" i="30"/>
  <c r="AM4" i="30"/>
  <c r="AM5" i="29"/>
  <c r="AM6" i="29"/>
  <c r="AM7" i="29"/>
  <c r="AM8" i="29"/>
  <c r="AM9" i="29"/>
  <c r="AM10" i="29"/>
  <c r="AM11" i="29"/>
  <c r="AM12" i="29"/>
  <c r="AM13" i="29"/>
  <c r="AM14" i="29"/>
  <c r="AM15" i="29"/>
  <c r="AM16" i="29"/>
  <c r="AM17" i="29"/>
  <c r="AM18" i="29"/>
  <c r="AM19" i="29"/>
  <c r="AM20" i="29"/>
  <c r="AM21" i="29"/>
  <c r="AM22" i="29"/>
  <c r="AM23" i="29"/>
  <c r="AM24" i="29"/>
  <c r="AM25" i="29"/>
  <c r="AM26" i="29"/>
  <c r="AM27" i="29"/>
  <c r="AM28" i="29"/>
  <c r="AM29" i="29"/>
  <c r="AM30" i="29"/>
  <c r="AM31" i="29"/>
  <c r="AM32" i="29"/>
  <c r="AM33" i="29"/>
  <c r="AM34" i="29"/>
  <c r="AM38" i="29"/>
  <c r="AM39" i="29"/>
  <c r="AM40" i="29"/>
  <c r="AM41" i="29"/>
  <c r="AM42" i="29"/>
  <c r="AM43" i="29"/>
  <c r="AM4" i="29"/>
  <c r="AF47" i="30"/>
  <c r="J59" i="30"/>
  <c r="I59" i="30"/>
  <c r="H59" i="30"/>
  <c r="G59" i="30"/>
  <c r="F59" i="30"/>
  <c r="E59" i="30"/>
  <c r="D59" i="30"/>
  <c r="D60" i="30" s="1"/>
  <c r="J46" i="30"/>
  <c r="I46" i="30"/>
  <c r="H46" i="30"/>
  <c r="G46" i="30"/>
  <c r="F46" i="30"/>
  <c r="E46" i="30"/>
  <c r="D46" i="30"/>
  <c r="AL47" i="30"/>
  <c r="AK47" i="30"/>
  <c r="AJ47" i="30"/>
  <c r="AI47" i="30"/>
  <c r="AH47" i="30"/>
  <c r="AG47" i="30"/>
  <c r="AE47" i="30"/>
  <c r="AD47" i="30"/>
  <c r="AC47" i="30"/>
  <c r="AB47" i="30"/>
  <c r="AA47" i="30"/>
  <c r="Z47" i="30"/>
  <c r="Y47" i="30"/>
  <c r="X47" i="30"/>
  <c r="W47" i="30"/>
  <c r="V47" i="30"/>
  <c r="U47" i="30"/>
  <c r="T47" i="30"/>
  <c r="S47" i="30"/>
  <c r="R47" i="30"/>
  <c r="Q47" i="30"/>
  <c r="P47" i="30"/>
  <c r="O47" i="30"/>
  <c r="N47" i="30"/>
  <c r="J21" i="30"/>
  <c r="I21" i="30"/>
  <c r="H21" i="30"/>
  <c r="G21" i="30"/>
  <c r="F21" i="30"/>
  <c r="E21" i="30"/>
  <c r="J10" i="30"/>
  <c r="I10" i="30"/>
  <c r="H10" i="30"/>
  <c r="G10" i="30"/>
  <c r="F10" i="30"/>
  <c r="E10" i="30"/>
  <c r="D10" i="29"/>
  <c r="D21" i="29"/>
  <c r="D46" i="29"/>
  <c r="D59" i="29"/>
  <c r="G59" i="29"/>
  <c r="H59" i="29"/>
  <c r="I59" i="29"/>
  <c r="J59" i="29"/>
  <c r="E59" i="29"/>
  <c r="F46" i="29"/>
  <c r="G46" i="29"/>
  <c r="H46" i="29"/>
  <c r="I46" i="29"/>
  <c r="J46" i="29"/>
  <c r="F21" i="29"/>
  <c r="G21" i="29"/>
  <c r="H21" i="29"/>
  <c r="I21" i="29"/>
  <c r="J21" i="29"/>
  <c r="E21" i="29"/>
  <c r="F10" i="29"/>
  <c r="G10" i="29"/>
  <c r="H10" i="29"/>
  <c r="I10" i="29"/>
  <c r="J10" i="29"/>
  <c r="E10" i="29"/>
  <c r="N47" i="29"/>
  <c r="O47" i="29"/>
  <c r="P47" i="29"/>
  <c r="Q47" i="29"/>
  <c r="R47" i="29"/>
  <c r="S47" i="29"/>
  <c r="T47" i="29"/>
  <c r="U47" i="29"/>
  <c r="V47" i="29"/>
  <c r="W47" i="29"/>
  <c r="X47" i="29"/>
  <c r="Y47" i="29"/>
  <c r="Z47" i="29"/>
  <c r="AA47" i="29"/>
  <c r="AB47" i="29"/>
  <c r="AC47" i="29"/>
  <c r="AD47" i="29"/>
  <c r="AE47" i="29"/>
  <c r="AF47" i="29"/>
  <c r="AG47" i="29"/>
  <c r="AH47" i="29"/>
  <c r="AI47" i="29"/>
  <c r="AJ47" i="29"/>
  <c r="AK47" i="29"/>
  <c r="AL47" i="29"/>
  <c r="K63" i="15"/>
  <c r="K59" i="15"/>
  <c r="K58" i="15"/>
  <c r="K56" i="15"/>
  <c r="K54" i="15"/>
  <c r="K53" i="15"/>
  <c r="K52" i="15"/>
  <c r="K51" i="15"/>
  <c r="K67" i="15"/>
  <c r="K43" i="15"/>
  <c r="K41" i="15"/>
  <c r="K40" i="15"/>
  <c r="K39" i="15"/>
  <c r="K38" i="15"/>
  <c r="K37" i="15"/>
  <c r="K36" i="15"/>
  <c r="K31" i="15"/>
  <c r="C52" i="27"/>
  <c r="D52" i="27"/>
  <c r="E52" i="27"/>
  <c r="F52" i="27"/>
  <c r="G52" i="27"/>
  <c r="H52" i="27"/>
  <c r="I52" i="27"/>
  <c r="K52" i="27"/>
  <c r="L52" i="27"/>
  <c r="M52" i="27"/>
  <c r="N52" i="27"/>
  <c r="O52" i="27"/>
  <c r="P52" i="27"/>
  <c r="Q52" i="27"/>
  <c r="C53" i="27"/>
  <c r="D53" i="27"/>
  <c r="E53" i="27"/>
  <c r="F53" i="27"/>
  <c r="G53" i="27"/>
  <c r="H53" i="27"/>
  <c r="I53" i="27"/>
  <c r="K53" i="27"/>
  <c r="L53" i="27"/>
  <c r="M53" i="27"/>
  <c r="N53" i="27"/>
  <c r="O53" i="27"/>
  <c r="P53" i="27"/>
  <c r="Q53" i="27"/>
  <c r="B53" i="27"/>
  <c r="B52" i="27"/>
  <c r="T43" i="27"/>
  <c r="U43" i="27"/>
  <c r="V43" i="27"/>
  <c r="W43" i="27"/>
  <c r="X43" i="27"/>
  <c r="Y43" i="27"/>
  <c r="Z43" i="27"/>
  <c r="AB43" i="27"/>
  <c r="AC43" i="27"/>
  <c r="AD43" i="27"/>
  <c r="AE43" i="27"/>
  <c r="AF43" i="27"/>
  <c r="AG43" i="27"/>
  <c r="AH43" i="27"/>
  <c r="T44" i="27"/>
  <c r="U44" i="27"/>
  <c r="V44" i="27"/>
  <c r="W44" i="27"/>
  <c r="X44" i="27"/>
  <c r="Y44" i="27"/>
  <c r="Z44" i="27"/>
  <c r="AB44" i="27"/>
  <c r="AC44" i="27"/>
  <c r="AD44" i="27"/>
  <c r="AE44" i="27"/>
  <c r="AF44" i="27"/>
  <c r="AG44" i="27"/>
  <c r="AH44" i="27"/>
  <c r="T45" i="27"/>
  <c r="U45" i="27"/>
  <c r="V45" i="27"/>
  <c r="W45" i="27"/>
  <c r="X45" i="27"/>
  <c r="Y45" i="27"/>
  <c r="Z45" i="27"/>
  <c r="AB45" i="27"/>
  <c r="AC45" i="27"/>
  <c r="AD45" i="27"/>
  <c r="AE45" i="27"/>
  <c r="AF45" i="27"/>
  <c r="AG45" i="27"/>
  <c r="AH45" i="27"/>
  <c r="S44" i="27"/>
  <c r="S45" i="27"/>
  <c r="S43" i="27"/>
  <c r="T65" i="27"/>
  <c r="U65" i="27"/>
  <c r="V65" i="27"/>
  <c r="W65" i="27"/>
  <c r="X65" i="27"/>
  <c r="Y65" i="27"/>
  <c r="Z65" i="27"/>
  <c r="AB65" i="27"/>
  <c r="AC65" i="27"/>
  <c r="AD65" i="27"/>
  <c r="AE65" i="27"/>
  <c r="AF65" i="27"/>
  <c r="AG65" i="27"/>
  <c r="S65" i="27"/>
  <c r="T50" i="26"/>
  <c r="U50" i="26"/>
  <c r="V50" i="26"/>
  <c r="W50" i="26"/>
  <c r="X50" i="26"/>
  <c r="Y50" i="26"/>
  <c r="Z50" i="26"/>
  <c r="AB50" i="26"/>
  <c r="AC50" i="26"/>
  <c r="AD50" i="26"/>
  <c r="AE50" i="26"/>
  <c r="AF50" i="26"/>
  <c r="AG50" i="26"/>
  <c r="AH50" i="26"/>
  <c r="T51" i="26"/>
  <c r="U51" i="26"/>
  <c r="V51" i="26"/>
  <c r="W51" i="26"/>
  <c r="X51" i="26"/>
  <c r="Y51" i="26"/>
  <c r="Z51" i="26"/>
  <c r="AB51" i="26"/>
  <c r="AC51" i="26"/>
  <c r="AD51" i="26"/>
  <c r="AE51" i="26"/>
  <c r="AF51" i="26"/>
  <c r="AG51" i="26"/>
  <c r="AH51" i="26"/>
  <c r="T52" i="26"/>
  <c r="U52" i="26"/>
  <c r="V52" i="26"/>
  <c r="W52" i="26"/>
  <c r="X52" i="26"/>
  <c r="Y52" i="26"/>
  <c r="Z52" i="26"/>
  <c r="AB52" i="26"/>
  <c r="AC52" i="26"/>
  <c r="AD52" i="26"/>
  <c r="AE52" i="26"/>
  <c r="AF52" i="26"/>
  <c r="AG52" i="26"/>
  <c r="AH52" i="26"/>
  <c r="S51" i="26"/>
  <c r="S52" i="26"/>
  <c r="S50" i="26"/>
  <c r="T65" i="26"/>
  <c r="U65" i="26"/>
  <c r="V65" i="26"/>
  <c r="W65" i="26"/>
  <c r="X65" i="26"/>
  <c r="Y65" i="26"/>
  <c r="Z65" i="26"/>
  <c r="AB65" i="26"/>
  <c r="AC65" i="26"/>
  <c r="AD65" i="26"/>
  <c r="AE65" i="26"/>
  <c r="AF65" i="26"/>
  <c r="AG65" i="26"/>
  <c r="S65" i="26"/>
  <c r="D60" i="29" l="1"/>
  <c r="I60" i="30"/>
  <c r="J60" i="30"/>
  <c r="I60" i="29"/>
  <c r="J60" i="29"/>
  <c r="F60" i="29"/>
  <c r="E60" i="29"/>
  <c r="H60" i="29"/>
  <c r="G60" i="29"/>
  <c r="J25" i="32"/>
  <c r="J19" i="32"/>
  <c r="M19" i="32"/>
  <c r="M23" i="32"/>
  <c r="M22" i="32"/>
  <c r="M21" i="32"/>
  <c r="M20" i="32"/>
  <c r="M25" i="32"/>
  <c r="K25" i="32"/>
  <c r="K23" i="32"/>
  <c r="K19" i="32"/>
  <c r="K21" i="32"/>
  <c r="K22" i="32"/>
  <c r="K20" i="32"/>
  <c r="L25" i="32"/>
  <c r="L22" i="32"/>
  <c r="L19" i="32"/>
  <c r="L23" i="32"/>
  <c r="L20" i="32"/>
  <c r="L24" i="32"/>
  <c r="L21" i="32"/>
  <c r="J24" i="32"/>
  <c r="J21" i="32"/>
  <c r="J23" i="32"/>
  <c r="J22" i="32"/>
  <c r="J20" i="32"/>
  <c r="H60" i="30"/>
  <c r="E60" i="30"/>
  <c r="F60" i="30"/>
  <c r="G60" i="30"/>
  <c r="AG69" i="28"/>
  <c r="AF69" i="28"/>
  <c r="AE69" i="28"/>
  <c r="AD69" i="28"/>
  <c r="AC69" i="28"/>
  <c r="Z69" i="28"/>
  <c r="Y69" i="28"/>
  <c r="X69" i="28"/>
  <c r="W69" i="28"/>
  <c r="V69" i="28"/>
  <c r="U69" i="28"/>
  <c r="T69" i="28"/>
  <c r="S69" i="28"/>
  <c r="AG68" i="28"/>
  <c r="AF68" i="28"/>
  <c r="AE68" i="28"/>
  <c r="AD68" i="28"/>
  <c r="AC68" i="28"/>
  <c r="AB68" i="28"/>
  <c r="Z68" i="28"/>
  <c r="Y68" i="28"/>
  <c r="X68" i="28"/>
  <c r="W68" i="28"/>
  <c r="V68" i="28"/>
  <c r="U68" i="28"/>
  <c r="T68" i="28"/>
  <c r="S68" i="28"/>
  <c r="AG67" i="28"/>
  <c r="AF67" i="28"/>
  <c r="AE67" i="28"/>
  <c r="AD67" i="28"/>
  <c r="AC67" i="28"/>
  <c r="AB67" i="28"/>
  <c r="Z67" i="28"/>
  <c r="Y67" i="28"/>
  <c r="X67" i="28"/>
  <c r="W67" i="28"/>
  <c r="V67" i="28"/>
  <c r="U67" i="28"/>
  <c r="T67" i="28"/>
  <c r="S67" i="28"/>
  <c r="AG66" i="28"/>
  <c r="AF66" i="28"/>
  <c r="AE66" i="28"/>
  <c r="AD66" i="28"/>
  <c r="AC66" i="28"/>
  <c r="AB66" i="28"/>
  <c r="Z66" i="28"/>
  <c r="Y66" i="28"/>
  <c r="X66" i="28"/>
  <c r="W66" i="28"/>
  <c r="V66" i="28"/>
  <c r="U66" i="28"/>
  <c r="T66" i="28"/>
  <c r="S66" i="28"/>
  <c r="AG65" i="28"/>
  <c r="AF65" i="28"/>
  <c r="AE65" i="28"/>
  <c r="AD65" i="28"/>
  <c r="AC65" i="28"/>
  <c r="AB65" i="28"/>
  <c r="Z65" i="28"/>
  <c r="Y65" i="28"/>
  <c r="X65" i="28"/>
  <c r="W65" i="28"/>
  <c r="V65" i="28"/>
  <c r="U65" i="28"/>
  <c r="T65" i="28"/>
  <c r="S65" i="28"/>
  <c r="AG64" i="28"/>
  <c r="AF64" i="28"/>
  <c r="AE64" i="28"/>
  <c r="AD64" i="28"/>
  <c r="AC64" i="28"/>
  <c r="AB64" i="28"/>
  <c r="Z64" i="28"/>
  <c r="Y64" i="28"/>
  <c r="X64" i="28"/>
  <c r="W64" i="28"/>
  <c r="V64" i="28"/>
  <c r="U64" i="28"/>
  <c r="T64" i="28"/>
  <c r="S64" i="28"/>
  <c r="AG63" i="28"/>
  <c r="AF63" i="28"/>
  <c r="AE63" i="28"/>
  <c r="AD63" i="28"/>
  <c r="AC63" i="28"/>
  <c r="AB63" i="28"/>
  <c r="Z63" i="28"/>
  <c r="Y63" i="28"/>
  <c r="X63" i="28"/>
  <c r="W63" i="28"/>
  <c r="V63" i="28"/>
  <c r="U63" i="28"/>
  <c r="T63" i="28"/>
  <c r="S63" i="28"/>
  <c r="AG62" i="28"/>
  <c r="AF62" i="28"/>
  <c r="AE62" i="28"/>
  <c r="AD62" i="28"/>
  <c r="AC62" i="28"/>
  <c r="AB62" i="28"/>
  <c r="Z62" i="28"/>
  <c r="Y62" i="28"/>
  <c r="X62" i="28"/>
  <c r="W62" i="28"/>
  <c r="V62" i="28"/>
  <c r="U62" i="28"/>
  <c r="T62" i="28"/>
  <c r="S62" i="28"/>
  <c r="AG61" i="28"/>
  <c r="AF61" i="28"/>
  <c r="AE61" i="28"/>
  <c r="AD61" i="28"/>
  <c r="AC61" i="28"/>
  <c r="AB61" i="28"/>
  <c r="Z61" i="28"/>
  <c r="Y61" i="28"/>
  <c r="X61" i="28"/>
  <c r="W61" i="28"/>
  <c r="V61" i="28"/>
  <c r="U61" i="28"/>
  <c r="T61" i="28"/>
  <c r="S61" i="28"/>
  <c r="AH55" i="28"/>
  <c r="AG55" i="28"/>
  <c r="AF55" i="28"/>
  <c r="AE55" i="28"/>
  <c r="AD55" i="28"/>
  <c r="AC55" i="28"/>
  <c r="AB55" i="28"/>
  <c r="Z55" i="28"/>
  <c r="Y55" i="28"/>
  <c r="X55" i="28"/>
  <c r="W55" i="28"/>
  <c r="V55" i="28"/>
  <c r="U55" i="28"/>
  <c r="T55" i="28"/>
  <c r="S55" i="28"/>
  <c r="Q55" i="28"/>
  <c r="P55" i="28"/>
  <c r="O55" i="28"/>
  <c r="N55" i="28"/>
  <c r="M55" i="28"/>
  <c r="L55" i="28"/>
  <c r="K55" i="28"/>
  <c r="I55" i="28"/>
  <c r="H55" i="28"/>
  <c r="G55" i="28"/>
  <c r="F55" i="28"/>
  <c r="E55" i="28"/>
  <c r="D55" i="28"/>
  <c r="C55" i="28"/>
  <c r="B55" i="28"/>
  <c r="AH54" i="28"/>
  <c r="AG54" i="28"/>
  <c r="AF54" i="28"/>
  <c r="AE54" i="28"/>
  <c r="AD54" i="28"/>
  <c r="AC54" i="28"/>
  <c r="AB54" i="28"/>
  <c r="Z54" i="28"/>
  <c r="Y54" i="28"/>
  <c r="X54" i="28"/>
  <c r="W54" i="28"/>
  <c r="V54" i="28"/>
  <c r="U54" i="28"/>
  <c r="T54" i="28"/>
  <c r="S54" i="28"/>
  <c r="Q54" i="28"/>
  <c r="P54" i="28"/>
  <c r="O54" i="28"/>
  <c r="N54" i="28"/>
  <c r="M54" i="28"/>
  <c r="L54" i="28"/>
  <c r="K54" i="28"/>
  <c r="I54" i="28"/>
  <c r="H54" i="28"/>
  <c r="G54" i="28"/>
  <c r="F54" i="28"/>
  <c r="E54" i="28"/>
  <c r="D54" i="28"/>
  <c r="C54" i="28"/>
  <c r="B54" i="28"/>
  <c r="AH53" i="28"/>
  <c r="AG53" i="28"/>
  <c r="AF53" i="28"/>
  <c r="AE53" i="28"/>
  <c r="AD53" i="28"/>
  <c r="AC53" i="28"/>
  <c r="AB53" i="28"/>
  <c r="Z53" i="28"/>
  <c r="Y53" i="28"/>
  <c r="X53" i="28"/>
  <c r="W53" i="28"/>
  <c r="V53" i="28"/>
  <c r="U53" i="28"/>
  <c r="T53" i="28"/>
  <c r="S53" i="28"/>
  <c r="Q53" i="28"/>
  <c r="P53" i="28"/>
  <c r="O53" i="28"/>
  <c r="N53" i="28"/>
  <c r="M53" i="28"/>
  <c r="L53" i="28"/>
  <c r="K53" i="28"/>
  <c r="I53" i="28"/>
  <c r="H53" i="28"/>
  <c r="G53" i="28"/>
  <c r="F53" i="28"/>
  <c r="E53" i="28"/>
  <c r="D53" i="28"/>
  <c r="C53" i="28"/>
  <c r="B53" i="28"/>
  <c r="AH52" i="28"/>
  <c r="AG52" i="28"/>
  <c r="AF52" i="28"/>
  <c r="AE52" i="28"/>
  <c r="AD52" i="28"/>
  <c r="AC52" i="28"/>
  <c r="AB52" i="28"/>
  <c r="Z52" i="28"/>
  <c r="Y52" i="28"/>
  <c r="X52" i="28"/>
  <c r="W52" i="28"/>
  <c r="V52" i="28"/>
  <c r="U52" i="28"/>
  <c r="T52" i="28"/>
  <c r="S52" i="28"/>
  <c r="Q52" i="28"/>
  <c r="P52" i="28"/>
  <c r="O52" i="28"/>
  <c r="N52" i="28"/>
  <c r="M52" i="28"/>
  <c r="L52" i="28"/>
  <c r="K52" i="28"/>
  <c r="I52" i="28"/>
  <c r="H52" i="28"/>
  <c r="G52" i="28"/>
  <c r="F52" i="28"/>
  <c r="E52" i="28"/>
  <c r="D52" i="28"/>
  <c r="C52" i="28"/>
  <c r="B52" i="28"/>
  <c r="AH51" i="28"/>
  <c r="AG51" i="28"/>
  <c r="AF51" i="28"/>
  <c r="AE51" i="28"/>
  <c r="AD51" i="28"/>
  <c r="AC51" i="28"/>
  <c r="AB51" i="28"/>
  <c r="Z51" i="28"/>
  <c r="Y51" i="28"/>
  <c r="X51" i="28"/>
  <c r="W51" i="28"/>
  <c r="V51" i="28"/>
  <c r="U51" i="28"/>
  <c r="T51" i="28"/>
  <c r="S51" i="28"/>
  <c r="Q51" i="28"/>
  <c r="P51" i="28"/>
  <c r="O51" i="28"/>
  <c r="N51" i="28"/>
  <c r="M51" i="28"/>
  <c r="L51" i="28"/>
  <c r="K51" i="28"/>
  <c r="I51" i="28"/>
  <c r="H51" i="28"/>
  <c r="G51" i="28"/>
  <c r="F51" i="28"/>
  <c r="E51" i="28"/>
  <c r="D51" i="28"/>
  <c r="C51" i="28"/>
  <c r="B51" i="28"/>
  <c r="AH50" i="28"/>
  <c r="AG50" i="28"/>
  <c r="AF50" i="28"/>
  <c r="AE50" i="28"/>
  <c r="AD50" i="28"/>
  <c r="AC50" i="28"/>
  <c r="AB50" i="28"/>
  <c r="Z50" i="28"/>
  <c r="Y50" i="28"/>
  <c r="X50" i="28"/>
  <c r="W50" i="28"/>
  <c r="V50" i="28"/>
  <c r="U50" i="28"/>
  <c r="T50" i="28"/>
  <c r="S50" i="28"/>
  <c r="Q50" i="28"/>
  <c r="P50" i="28"/>
  <c r="O50" i="28"/>
  <c r="N50" i="28"/>
  <c r="M50" i="28"/>
  <c r="L50" i="28"/>
  <c r="K50" i="28"/>
  <c r="I50" i="28"/>
  <c r="H50" i="28"/>
  <c r="G50" i="28"/>
  <c r="F50" i="28"/>
  <c r="E50" i="28"/>
  <c r="D50" i="28"/>
  <c r="C50" i="28"/>
  <c r="B50" i="28"/>
  <c r="AH44" i="28"/>
  <c r="AG44" i="28"/>
  <c r="AF44" i="28"/>
  <c r="AE44" i="28"/>
  <c r="AD44" i="28"/>
  <c r="AC44" i="28"/>
  <c r="AB44" i="28"/>
  <c r="Z44" i="28"/>
  <c r="Y44" i="28"/>
  <c r="X44" i="28"/>
  <c r="W44" i="28"/>
  <c r="V44" i="28"/>
  <c r="U44" i="28"/>
  <c r="T44" i="28"/>
  <c r="S44" i="28"/>
  <c r="AH43" i="28"/>
  <c r="AG43" i="28"/>
  <c r="AF43" i="28"/>
  <c r="AE43" i="28"/>
  <c r="AD43" i="28"/>
  <c r="AC43" i="28"/>
  <c r="AB43" i="28"/>
  <c r="Z43" i="28"/>
  <c r="Y43" i="28"/>
  <c r="X43" i="28"/>
  <c r="W43" i="28"/>
  <c r="V43" i="28"/>
  <c r="U43" i="28"/>
  <c r="T43" i="28"/>
  <c r="S43" i="28"/>
  <c r="Q43" i="28"/>
  <c r="P43" i="28"/>
  <c r="O43" i="28"/>
  <c r="N43" i="28"/>
  <c r="M43" i="28"/>
  <c r="L43" i="28"/>
  <c r="K43" i="28"/>
  <c r="I43" i="28"/>
  <c r="H43" i="28"/>
  <c r="G43" i="28"/>
  <c r="F43" i="28"/>
  <c r="E43" i="28"/>
  <c r="D43" i="28"/>
  <c r="C43" i="28"/>
  <c r="B43" i="28"/>
  <c r="AH42" i="28"/>
  <c r="AG42" i="28"/>
  <c r="AF42" i="28"/>
  <c r="AE42" i="28"/>
  <c r="AD42" i="28"/>
  <c r="AC42" i="28"/>
  <c r="AB42" i="28"/>
  <c r="Z42" i="28"/>
  <c r="Y42" i="28"/>
  <c r="X42" i="28"/>
  <c r="W42" i="28"/>
  <c r="V42" i="28"/>
  <c r="U42" i="28"/>
  <c r="T42" i="28"/>
  <c r="S42" i="28"/>
  <c r="Q42" i="28"/>
  <c r="P42" i="28"/>
  <c r="O42" i="28"/>
  <c r="N42" i="28"/>
  <c r="M42" i="28"/>
  <c r="L42" i="28"/>
  <c r="I42" i="28"/>
  <c r="H42" i="28"/>
  <c r="G42" i="28"/>
  <c r="F42" i="28"/>
  <c r="E42" i="28"/>
  <c r="D42" i="28"/>
  <c r="C42" i="28"/>
  <c r="B42" i="28"/>
  <c r="AH41" i="28"/>
  <c r="AG41" i="28"/>
  <c r="AF41" i="28"/>
  <c r="AE41" i="28"/>
  <c r="AD41" i="28"/>
  <c r="AC41" i="28"/>
  <c r="AB41" i="28"/>
  <c r="Z41" i="28"/>
  <c r="Y41" i="28"/>
  <c r="X41" i="28"/>
  <c r="W41" i="28"/>
  <c r="V41" i="28"/>
  <c r="U41" i="28"/>
  <c r="T41" i="28"/>
  <c r="S41" i="28"/>
  <c r="Q41" i="28"/>
  <c r="P41" i="28"/>
  <c r="O41" i="28"/>
  <c r="N41" i="28"/>
  <c r="M41" i="28"/>
  <c r="L41" i="28"/>
  <c r="K41" i="28"/>
  <c r="I41" i="28"/>
  <c r="H41" i="28"/>
  <c r="G41" i="28"/>
  <c r="F41" i="28"/>
  <c r="E41" i="28"/>
  <c r="D41" i="28"/>
  <c r="C41" i="28"/>
  <c r="B41" i="28"/>
  <c r="AH40" i="28"/>
  <c r="AG40" i="28"/>
  <c r="AF40" i="28"/>
  <c r="AE40" i="28"/>
  <c r="AD40" i="28"/>
  <c r="AC40" i="28"/>
  <c r="AB40" i="28"/>
  <c r="Z40" i="28"/>
  <c r="Y40" i="28"/>
  <c r="X40" i="28"/>
  <c r="W40" i="28"/>
  <c r="V40" i="28"/>
  <c r="U40" i="28"/>
  <c r="T40" i="28"/>
  <c r="S40" i="28"/>
  <c r="Q40" i="28"/>
  <c r="P40" i="28"/>
  <c r="O40" i="28"/>
  <c r="N40" i="28"/>
  <c r="M40" i="28"/>
  <c r="L40" i="28"/>
  <c r="K40" i="28"/>
  <c r="I40" i="28"/>
  <c r="H40" i="28"/>
  <c r="G40" i="28"/>
  <c r="F40" i="28"/>
  <c r="E40" i="28"/>
  <c r="D40" i="28"/>
  <c r="C40" i="28"/>
  <c r="B40" i="28"/>
  <c r="AH39" i="28"/>
  <c r="AG39" i="28"/>
  <c r="AF39" i="28"/>
  <c r="AE39" i="28"/>
  <c r="AD39" i="28"/>
  <c r="AC39" i="28"/>
  <c r="AB39" i="28"/>
  <c r="Z39" i="28"/>
  <c r="Y39" i="28"/>
  <c r="X39" i="28"/>
  <c r="W39" i="28"/>
  <c r="V39" i="28"/>
  <c r="U39" i="28"/>
  <c r="T39" i="28"/>
  <c r="S39" i="28"/>
  <c r="Q39" i="28"/>
  <c r="P39" i="28"/>
  <c r="O39" i="28"/>
  <c r="N39" i="28"/>
  <c r="M39" i="28"/>
  <c r="L39" i="28"/>
  <c r="K39" i="28"/>
  <c r="I39" i="28"/>
  <c r="H39" i="28"/>
  <c r="G39" i="28"/>
  <c r="F39" i="28"/>
  <c r="E39" i="28"/>
  <c r="D39" i="28"/>
  <c r="C39" i="28"/>
  <c r="B39" i="28"/>
  <c r="AH38" i="28"/>
  <c r="AG38" i="28"/>
  <c r="AF38" i="28"/>
  <c r="AE38" i="28"/>
  <c r="AD38" i="28"/>
  <c r="AC38" i="28"/>
  <c r="AB38" i="28"/>
  <c r="Z38" i="28"/>
  <c r="Y38" i="28"/>
  <c r="X38" i="28"/>
  <c r="W38" i="28"/>
  <c r="V38" i="28"/>
  <c r="U38" i="28"/>
  <c r="T38" i="28"/>
  <c r="S38" i="28"/>
  <c r="Q38" i="28"/>
  <c r="P38" i="28"/>
  <c r="O38" i="28"/>
  <c r="N38" i="28"/>
  <c r="M38" i="28"/>
  <c r="L38" i="28"/>
  <c r="K38" i="28"/>
  <c r="I38" i="28"/>
  <c r="H38" i="28"/>
  <c r="G38" i="28"/>
  <c r="F38" i="28"/>
  <c r="E38" i="28"/>
  <c r="D38" i="28"/>
  <c r="C38" i="28"/>
  <c r="B38" i="28"/>
  <c r="AH32" i="28"/>
  <c r="AG32" i="28"/>
  <c r="AF32" i="28"/>
  <c r="AE32" i="28"/>
  <c r="AD32" i="28"/>
  <c r="AC32" i="28"/>
  <c r="AB32" i="28"/>
  <c r="Z32" i="28"/>
  <c r="Y32" i="28"/>
  <c r="X32" i="28"/>
  <c r="W32" i="28"/>
  <c r="V32" i="28"/>
  <c r="U32" i="28"/>
  <c r="T32" i="28"/>
  <c r="S32" i="28"/>
  <c r="AH31" i="28"/>
  <c r="AG31" i="28"/>
  <c r="AF31" i="28"/>
  <c r="AE31" i="28"/>
  <c r="AD31" i="28"/>
  <c r="AC31" i="28"/>
  <c r="AB31" i="28"/>
  <c r="Z31" i="28"/>
  <c r="Y31" i="28"/>
  <c r="X31" i="28"/>
  <c r="W31" i="28"/>
  <c r="V31" i="28"/>
  <c r="U31" i="28"/>
  <c r="T31" i="28"/>
  <c r="S31" i="28"/>
  <c r="Q31" i="28"/>
  <c r="P31" i="28"/>
  <c r="O31" i="28"/>
  <c r="N31" i="28"/>
  <c r="M31" i="28"/>
  <c r="L31" i="28"/>
  <c r="K31" i="28"/>
  <c r="I31" i="28"/>
  <c r="H31" i="28"/>
  <c r="G31" i="28"/>
  <c r="F31" i="28"/>
  <c r="E31" i="28"/>
  <c r="D31" i="28"/>
  <c r="C31" i="28"/>
  <c r="B31" i="28"/>
  <c r="AH30" i="28"/>
  <c r="AG30" i="28"/>
  <c r="AF30" i="28"/>
  <c r="AE30" i="28"/>
  <c r="AD30" i="28"/>
  <c r="AC30" i="28"/>
  <c r="AB30" i="28"/>
  <c r="Z30" i="28"/>
  <c r="Y30" i="28"/>
  <c r="X30" i="28"/>
  <c r="W30" i="28"/>
  <c r="V30" i="28"/>
  <c r="U30" i="28"/>
  <c r="T30" i="28"/>
  <c r="S30" i="28"/>
  <c r="Q30" i="28"/>
  <c r="P30" i="28"/>
  <c r="O30" i="28"/>
  <c r="N30" i="28"/>
  <c r="M30" i="28"/>
  <c r="L30" i="28"/>
  <c r="K30" i="28"/>
  <c r="I30" i="28"/>
  <c r="H30" i="28"/>
  <c r="G30" i="28"/>
  <c r="F30" i="28"/>
  <c r="E30" i="28"/>
  <c r="D30" i="28"/>
  <c r="C30" i="28"/>
  <c r="B30" i="28"/>
  <c r="AH29" i="28"/>
  <c r="AG29" i="28"/>
  <c r="AF29" i="28"/>
  <c r="AE29" i="28"/>
  <c r="AD29" i="28"/>
  <c r="AC29" i="28"/>
  <c r="AB29" i="28"/>
  <c r="Z29" i="28"/>
  <c r="Y29" i="28"/>
  <c r="X29" i="28"/>
  <c r="W29" i="28"/>
  <c r="V29" i="28"/>
  <c r="U29" i="28"/>
  <c r="T29" i="28"/>
  <c r="S29" i="28"/>
  <c r="Q29" i="28"/>
  <c r="P29" i="28"/>
  <c r="O29" i="28"/>
  <c r="N29" i="28"/>
  <c r="M29" i="28"/>
  <c r="L29" i="28"/>
  <c r="I29" i="28"/>
  <c r="H29" i="28"/>
  <c r="G29" i="28"/>
  <c r="F29" i="28"/>
  <c r="E29" i="28"/>
  <c r="D29" i="28"/>
  <c r="C29" i="28"/>
  <c r="B29" i="28"/>
  <c r="AH28" i="28"/>
  <c r="AG28" i="28"/>
  <c r="AF28" i="28"/>
  <c r="AE28" i="28"/>
  <c r="AD28" i="28"/>
  <c r="AC28" i="28"/>
  <c r="AB28" i="28"/>
  <c r="Z28" i="28"/>
  <c r="Y28" i="28"/>
  <c r="X28" i="28"/>
  <c r="W28" i="28"/>
  <c r="V28" i="28"/>
  <c r="U28" i="28"/>
  <c r="T28" i="28"/>
  <c r="S28" i="28"/>
  <c r="Q28" i="28"/>
  <c r="P28" i="28"/>
  <c r="O28" i="28"/>
  <c r="N28" i="28"/>
  <c r="M28" i="28"/>
  <c r="L28" i="28"/>
  <c r="K28" i="28"/>
  <c r="I28" i="28"/>
  <c r="H28" i="28"/>
  <c r="G28" i="28"/>
  <c r="F28" i="28"/>
  <c r="E28" i="28"/>
  <c r="D28" i="28"/>
  <c r="C28" i="28"/>
  <c r="B28" i="28"/>
  <c r="AH27" i="28"/>
  <c r="AG27" i="28"/>
  <c r="AF27" i="28"/>
  <c r="AE27" i="28"/>
  <c r="AD27" i="28"/>
  <c r="AC27" i="28"/>
  <c r="Z27" i="28"/>
  <c r="Y27" i="28"/>
  <c r="X27" i="28"/>
  <c r="W27" i="28"/>
  <c r="V27" i="28"/>
  <c r="U27" i="28"/>
  <c r="T27" i="28"/>
  <c r="S27" i="28"/>
  <c r="Q27" i="28"/>
  <c r="P27" i="28"/>
  <c r="O27" i="28"/>
  <c r="N27" i="28"/>
  <c r="M27" i="28"/>
  <c r="L27" i="28"/>
  <c r="K27" i="28"/>
  <c r="I27" i="28"/>
  <c r="H27" i="28"/>
  <c r="G27" i="28"/>
  <c r="F27" i="28"/>
  <c r="E27" i="28"/>
  <c r="D27" i="28"/>
  <c r="C27" i="28"/>
  <c r="B27" i="28"/>
  <c r="AH26" i="28"/>
  <c r="AG26" i="28"/>
  <c r="AF26" i="28"/>
  <c r="AE26" i="28"/>
  <c r="AD26" i="28"/>
  <c r="AC26" i="28"/>
  <c r="Z26" i="28"/>
  <c r="Y26" i="28"/>
  <c r="X26" i="28"/>
  <c r="W26" i="28"/>
  <c r="V26" i="28"/>
  <c r="U26" i="28"/>
  <c r="T26" i="28"/>
  <c r="S26" i="28"/>
  <c r="Q26" i="28"/>
  <c r="P26" i="28"/>
  <c r="O26" i="28"/>
  <c r="N26" i="28"/>
  <c r="M26" i="28"/>
  <c r="L26" i="28"/>
  <c r="I26" i="28"/>
  <c r="H26" i="28"/>
  <c r="G26" i="28"/>
  <c r="F26" i="28"/>
  <c r="E26" i="28"/>
  <c r="D26" i="28"/>
  <c r="C26" i="28"/>
  <c r="B26" i="28"/>
  <c r="AH20" i="28"/>
  <c r="AG20" i="28"/>
  <c r="AF20" i="28"/>
  <c r="AE20" i="28"/>
  <c r="AD20" i="28"/>
  <c r="AC20" i="28"/>
  <c r="Z20" i="28"/>
  <c r="Y20" i="28"/>
  <c r="X20" i="28"/>
  <c r="W20" i="28"/>
  <c r="V20" i="28"/>
  <c r="U20" i="28"/>
  <c r="T20" i="28"/>
  <c r="S20" i="28"/>
  <c r="Q20" i="28"/>
  <c r="P20" i="28"/>
  <c r="O20" i="28"/>
  <c r="N20" i="28"/>
  <c r="M20" i="28"/>
  <c r="L20" i="28"/>
  <c r="K20" i="28"/>
  <c r="I20" i="28"/>
  <c r="H20" i="28"/>
  <c r="G20" i="28"/>
  <c r="F20" i="28"/>
  <c r="E20" i="28"/>
  <c r="D20" i="28"/>
  <c r="C20" i="28"/>
  <c r="B20" i="28"/>
  <c r="AH19" i="28"/>
  <c r="AG19" i="28"/>
  <c r="AF19" i="28"/>
  <c r="AE19" i="28"/>
  <c r="AD19" i="28"/>
  <c r="AC19" i="28"/>
  <c r="AB19" i="28"/>
  <c r="Z19" i="28"/>
  <c r="Y19" i="28"/>
  <c r="X19" i="28"/>
  <c r="W19" i="28"/>
  <c r="V19" i="28"/>
  <c r="U19" i="28"/>
  <c r="T19" i="28"/>
  <c r="S19" i="28"/>
  <c r="Q19" i="28"/>
  <c r="P19" i="28"/>
  <c r="O19" i="28"/>
  <c r="N19" i="28"/>
  <c r="M19" i="28"/>
  <c r="L19" i="28"/>
  <c r="K19" i="28"/>
  <c r="I19" i="28"/>
  <c r="H19" i="28"/>
  <c r="G19" i="28"/>
  <c r="F19" i="28"/>
  <c r="E19" i="28"/>
  <c r="D19" i="28"/>
  <c r="C19" i="28"/>
  <c r="B19" i="28"/>
  <c r="AH18" i="28"/>
  <c r="AG18" i="28"/>
  <c r="AF18" i="28"/>
  <c r="AE18" i="28"/>
  <c r="AD18" i="28"/>
  <c r="AC18" i="28"/>
  <c r="AB18" i="28"/>
  <c r="Z18" i="28"/>
  <c r="Y18" i="28"/>
  <c r="X18" i="28"/>
  <c r="W18" i="28"/>
  <c r="V18" i="28"/>
  <c r="U18" i="28"/>
  <c r="T18" i="28"/>
  <c r="S18" i="28"/>
  <c r="Q18" i="28"/>
  <c r="P18" i="28"/>
  <c r="O18" i="28"/>
  <c r="N18" i="28"/>
  <c r="M18" i="28"/>
  <c r="L18" i="28"/>
  <c r="K18" i="28"/>
  <c r="I18" i="28"/>
  <c r="H18" i="28"/>
  <c r="G18" i="28"/>
  <c r="F18" i="28"/>
  <c r="E18" i="28"/>
  <c r="D18" i="28"/>
  <c r="C18" i="28"/>
  <c r="B18" i="28"/>
  <c r="AH17" i="28"/>
  <c r="AG17" i="28"/>
  <c r="AF17" i="28"/>
  <c r="AE17" i="28"/>
  <c r="AD17" i="28"/>
  <c r="AC17" i="28"/>
  <c r="AB17" i="28"/>
  <c r="Z17" i="28"/>
  <c r="Y17" i="28"/>
  <c r="X17" i="28"/>
  <c r="W17" i="28"/>
  <c r="V17" i="28"/>
  <c r="U17" i="28"/>
  <c r="T17" i="28"/>
  <c r="S17" i="28"/>
  <c r="Q17" i="28"/>
  <c r="P17" i="28"/>
  <c r="O17" i="28"/>
  <c r="N17" i="28"/>
  <c r="M17" i="28"/>
  <c r="L17" i="28"/>
  <c r="K17" i="28"/>
  <c r="I17" i="28"/>
  <c r="H17" i="28"/>
  <c r="G17" i="28"/>
  <c r="F17" i="28"/>
  <c r="E17" i="28"/>
  <c r="D17" i="28"/>
  <c r="C17" i="28"/>
  <c r="B17" i="28"/>
  <c r="AH16" i="28"/>
  <c r="AG16" i="28"/>
  <c r="AF16" i="28"/>
  <c r="AE16" i="28"/>
  <c r="AD16" i="28"/>
  <c r="AC16" i="28"/>
  <c r="AB16" i="28"/>
  <c r="Z16" i="28"/>
  <c r="Y16" i="28"/>
  <c r="X16" i="28"/>
  <c r="W16" i="28"/>
  <c r="V16" i="28"/>
  <c r="U16" i="28"/>
  <c r="T16" i="28"/>
  <c r="S16" i="28"/>
  <c r="Q16" i="28"/>
  <c r="P16" i="28"/>
  <c r="O16" i="28"/>
  <c r="N16" i="28"/>
  <c r="M16" i="28"/>
  <c r="L16" i="28"/>
  <c r="K16" i="28"/>
  <c r="I16" i="28"/>
  <c r="H16" i="28"/>
  <c r="G16" i="28"/>
  <c r="F16" i="28"/>
  <c r="E16" i="28"/>
  <c r="D16" i="28"/>
  <c r="C16" i="28"/>
  <c r="B16" i="28"/>
  <c r="AH15" i="28"/>
  <c r="AG15" i="28"/>
  <c r="AF15" i="28"/>
  <c r="AE15" i="28"/>
  <c r="AD15" i="28"/>
  <c r="AC15" i="28"/>
  <c r="AB15" i="28"/>
  <c r="Z15" i="28"/>
  <c r="Y15" i="28"/>
  <c r="X15" i="28"/>
  <c r="W15" i="28"/>
  <c r="V15" i="28"/>
  <c r="U15" i="28"/>
  <c r="T15" i="28"/>
  <c r="S15" i="28"/>
  <c r="Q15" i="28"/>
  <c r="P15" i="28"/>
  <c r="O15" i="28"/>
  <c r="N15" i="28"/>
  <c r="M15" i="28"/>
  <c r="L15" i="28"/>
  <c r="K15" i="28"/>
  <c r="I15" i="28"/>
  <c r="H15" i="28"/>
  <c r="G15" i="28"/>
  <c r="F15" i="28"/>
  <c r="E15" i="28"/>
  <c r="D15" i="28"/>
  <c r="C15" i="28"/>
  <c r="B15" i="28"/>
  <c r="AH14" i="28"/>
  <c r="AG14" i="28"/>
  <c r="AF14" i="28"/>
  <c r="AE14" i="28"/>
  <c r="AD14" i="28"/>
  <c r="AC14" i="28"/>
  <c r="Z14" i="28"/>
  <c r="Y14" i="28"/>
  <c r="X14" i="28"/>
  <c r="W14" i="28"/>
  <c r="V14" i="28"/>
  <c r="U14" i="28"/>
  <c r="T14" i="28"/>
  <c r="S14" i="28"/>
  <c r="Q14" i="28"/>
  <c r="P14" i="28"/>
  <c r="O14" i="28"/>
  <c r="N14" i="28"/>
  <c r="M14" i="28"/>
  <c r="L14" i="28"/>
  <c r="K14" i="28"/>
  <c r="I14" i="28"/>
  <c r="H14" i="28"/>
  <c r="G14" i="28"/>
  <c r="F14" i="28"/>
  <c r="E14" i="28"/>
  <c r="D14" i="28"/>
  <c r="C14" i="28"/>
  <c r="B14" i="28"/>
  <c r="C52" i="24"/>
  <c r="D52" i="24"/>
  <c r="E52" i="24"/>
  <c r="F52" i="24"/>
  <c r="G52" i="24"/>
  <c r="H52" i="24"/>
  <c r="I52" i="24"/>
  <c r="K52" i="24"/>
  <c r="L52" i="24"/>
  <c r="M52" i="24"/>
  <c r="N52" i="24"/>
  <c r="O52" i="24"/>
  <c r="P52" i="24"/>
  <c r="Q52" i="24"/>
  <c r="C53" i="24"/>
  <c r="D53" i="24"/>
  <c r="E53" i="24"/>
  <c r="F53" i="24"/>
  <c r="G53" i="24"/>
  <c r="H53" i="24"/>
  <c r="I53" i="24"/>
  <c r="K53" i="24"/>
  <c r="L53" i="24"/>
  <c r="M53" i="24"/>
  <c r="N53" i="24"/>
  <c r="O53" i="24"/>
  <c r="P53" i="24"/>
  <c r="Q53" i="24"/>
  <c r="B53" i="24"/>
  <c r="B52" i="24"/>
  <c r="T43" i="24"/>
  <c r="U43" i="24"/>
  <c r="V43" i="24"/>
  <c r="W43" i="24"/>
  <c r="X43" i="24"/>
  <c r="Y43" i="24"/>
  <c r="Z43" i="24"/>
  <c r="AB43" i="24"/>
  <c r="AC43" i="24"/>
  <c r="AD43" i="24"/>
  <c r="AE43" i="24"/>
  <c r="AF43" i="24"/>
  <c r="AG43" i="24"/>
  <c r="AH43" i="24"/>
  <c r="T44" i="24"/>
  <c r="U44" i="24"/>
  <c r="V44" i="24"/>
  <c r="W44" i="24"/>
  <c r="X44" i="24"/>
  <c r="Y44" i="24"/>
  <c r="Z44" i="24"/>
  <c r="AB44" i="24"/>
  <c r="AC44" i="24"/>
  <c r="AD44" i="24"/>
  <c r="AE44" i="24"/>
  <c r="AF44" i="24"/>
  <c r="AG44" i="24"/>
  <c r="AH44" i="24"/>
  <c r="T45" i="24"/>
  <c r="U45" i="24"/>
  <c r="V45" i="24"/>
  <c r="W45" i="24"/>
  <c r="X45" i="24"/>
  <c r="Y45" i="24"/>
  <c r="Z45" i="24"/>
  <c r="AB45" i="24"/>
  <c r="AC45" i="24"/>
  <c r="AD45" i="24"/>
  <c r="AE45" i="24"/>
  <c r="AF45" i="24"/>
  <c r="AG45" i="24"/>
  <c r="AH45" i="24"/>
  <c r="S44" i="24"/>
  <c r="S45" i="24"/>
  <c r="S43" i="24"/>
  <c r="T66" i="24"/>
  <c r="U66" i="24"/>
  <c r="V66" i="24"/>
  <c r="W66" i="24"/>
  <c r="X66" i="24"/>
  <c r="Y66" i="24"/>
  <c r="Z66" i="24"/>
  <c r="AB66" i="24"/>
  <c r="AC66" i="24"/>
  <c r="AD66" i="24"/>
  <c r="AE66" i="24"/>
  <c r="AF66" i="24"/>
  <c r="AG66" i="24"/>
  <c r="S66" i="24"/>
  <c r="T66" i="11"/>
  <c r="U66" i="11"/>
  <c r="V66" i="11"/>
  <c r="W66" i="11"/>
  <c r="X66" i="11"/>
  <c r="Y66" i="11"/>
  <c r="Z66" i="11"/>
  <c r="AB66" i="11"/>
  <c r="AC66" i="11"/>
  <c r="AD66" i="11"/>
  <c r="AE66" i="11"/>
  <c r="AF66" i="11"/>
  <c r="AG66" i="11"/>
  <c r="S66" i="11"/>
  <c r="U50" i="11"/>
  <c r="V50" i="11"/>
  <c r="W50" i="11"/>
  <c r="X50" i="11"/>
  <c r="Y50" i="11"/>
  <c r="Z50" i="11"/>
  <c r="AB50" i="11"/>
  <c r="AC50" i="11"/>
  <c r="AD50" i="11"/>
  <c r="AE50" i="11"/>
  <c r="AF50" i="11"/>
  <c r="AG50" i="11"/>
  <c r="AH50" i="11"/>
  <c r="U51" i="11"/>
  <c r="V51" i="11"/>
  <c r="W51" i="11"/>
  <c r="X51" i="11"/>
  <c r="Y51" i="11"/>
  <c r="Z51" i="11"/>
  <c r="AB51" i="11"/>
  <c r="AC51" i="11"/>
  <c r="AD51" i="11"/>
  <c r="AE51" i="11"/>
  <c r="AF51" i="11"/>
  <c r="AG51" i="11"/>
  <c r="AH51" i="11"/>
  <c r="U52" i="11"/>
  <c r="V52" i="11"/>
  <c r="W52" i="11"/>
  <c r="X52" i="11"/>
  <c r="Y52" i="11"/>
  <c r="Z52" i="11"/>
  <c r="AB52" i="11"/>
  <c r="AC52" i="11"/>
  <c r="AD52" i="11"/>
  <c r="AE52" i="11"/>
  <c r="AF52" i="11"/>
  <c r="AG52" i="11"/>
  <c r="AH52" i="11"/>
  <c r="T50" i="11"/>
  <c r="T51" i="11"/>
  <c r="T52" i="11"/>
  <c r="S51" i="11"/>
  <c r="S52" i="11"/>
  <c r="S50" i="11"/>
  <c r="J75" i="15"/>
  <c r="AA52" i="11" s="1"/>
  <c r="K7" i="15"/>
  <c r="AB26" i="26" s="1"/>
  <c r="AH18" i="27"/>
  <c r="AG18" i="27"/>
  <c r="AF18" i="27"/>
  <c r="AE18" i="27"/>
  <c r="AD18" i="27"/>
  <c r="AC18" i="27"/>
  <c r="AB18" i="27"/>
  <c r="Z18" i="27"/>
  <c r="Y18" i="27"/>
  <c r="X18" i="27"/>
  <c r="W18" i="27"/>
  <c r="V18" i="27"/>
  <c r="U18" i="27"/>
  <c r="T18" i="27"/>
  <c r="S18" i="27"/>
  <c r="AH18" i="26"/>
  <c r="AG18" i="26"/>
  <c r="AF18" i="26"/>
  <c r="AE18" i="26"/>
  <c r="AD18" i="26"/>
  <c r="AC18" i="26"/>
  <c r="AB18" i="26"/>
  <c r="Z18" i="26"/>
  <c r="Y18" i="26"/>
  <c r="X18" i="26"/>
  <c r="W18" i="26"/>
  <c r="V18" i="26"/>
  <c r="U18" i="26"/>
  <c r="T18" i="26"/>
  <c r="S18" i="26"/>
  <c r="U18" i="24"/>
  <c r="V18" i="24"/>
  <c r="W18" i="24"/>
  <c r="X18" i="24"/>
  <c r="Y18" i="24"/>
  <c r="Z18" i="24"/>
  <c r="AB18" i="24"/>
  <c r="AC18" i="24"/>
  <c r="AD18" i="24"/>
  <c r="AE18" i="24"/>
  <c r="AF18" i="24"/>
  <c r="AG18" i="24"/>
  <c r="AH18" i="24"/>
  <c r="T18" i="24"/>
  <c r="S18" i="24"/>
  <c r="T18" i="11"/>
  <c r="U18" i="11"/>
  <c r="V18" i="11"/>
  <c r="W18" i="11"/>
  <c r="X18" i="11"/>
  <c r="Y18" i="11"/>
  <c r="Z18" i="11"/>
  <c r="AB18" i="11"/>
  <c r="AC18" i="11"/>
  <c r="AD18" i="11"/>
  <c r="AE18" i="11"/>
  <c r="AF18" i="11"/>
  <c r="AG18" i="11"/>
  <c r="AH18" i="11"/>
  <c r="S18" i="11"/>
  <c r="AG69" i="27"/>
  <c r="AF69" i="27"/>
  <c r="AE69" i="27"/>
  <c r="AD69" i="27"/>
  <c r="AC69" i="27"/>
  <c r="Z69" i="27"/>
  <c r="Y69" i="27"/>
  <c r="X69" i="27"/>
  <c r="W69" i="27"/>
  <c r="V69" i="27"/>
  <c r="U69" i="27"/>
  <c r="T69" i="27"/>
  <c r="S69" i="27"/>
  <c r="AG68" i="27"/>
  <c r="AF68" i="27"/>
  <c r="AE68" i="27"/>
  <c r="AD68" i="27"/>
  <c r="AC68" i="27"/>
  <c r="AB68" i="27"/>
  <c r="Z68" i="27"/>
  <c r="Y68" i="27"/>
  <c r="X68" i="27"/>
  <c r="W68" i="27"/>
  <c r="V68" i="27"/>
  <c r="U68" i="27"/>
  <c r="T68" i="27"/>
  <c r="S68" i="27"/>
  <c r="AG67" i="27"/>
  <c r="AF67" i="27"/>
  <c r="AE67" i="27"/>
  <c r="AD67" i="27"/>
  <c r="AC67" i="27"/>
  <c r="AB67" i="27"/>
  <c r="Z67" i="27"/>
  <c r="Y67" i="27"/>
  <c r="X67" i="27"/>
  <c r="W67" i="27"/>
  <c r="V67" i="27"/>
  <c r="U67" i="27"/>
  <c r="T67" i="27"/>
  <c r="S67" i="27"/>
  <c r="AG66" i="27"/>
  <c r="AF66" i="27"/>
  <c r="AE66" i="27"/>
  <c r="AD66" i="27"/>
  <c r="AC66" i="27"/>
  <c r="AB66" i="27"/>
  <c r="Z66" i="27"/>
  <c r="Y66" i="27"/>
  <c r="X66" i="27"/>
  <c r="W66" i="27"/>
  <c r="V66" i="27"/>
  <c r="U66" i="27"/>
  <c r="T66" i="27"/>
  <c r="S66" i="27"/>
  <c r="AG64" i="27"/>
  <c r="AF64" i="27"/>
  <c r="AE64" i="27"/>
  <c r="AD64" i="27"/>
  <c r="AC64" i="27"/>
  <c r="AB64" i="27"/>
  <c r="Z64" i="27"/>
  <c r="Y64" i="27"/>
  <c r="X64" i="27"/>
  <c r="W64" i="27"/>
  <c r="V64" i="27"/>
  <c r="U64" i="27"/>
  <c r="T64" i="27"/>
  <c r="S64" i="27"/>
  <c r="AG63" i="27"/>
  <c r="AF63" i="27"/>
  <c r="AE63" i="27"/>
  <c r="AD63" i="27"/>
  <c r="AC63" i="27"/>
  <c r="AB63" i="27"/>
  <c r="Z63" i="27"/>
  <c r="Y63" i="27"/>
  <c r="X63" i="27"/>
  <c r="W63" i="27"/>
  <c r="V63" i="27"/>
  <c r="U63" i="27"/>
  <c r="T63" i="27"/>
  <c r="S63" i="27"/>
  <c r="AG62" i="27"/>
  <c r="AF62" i="27"/>
  <c r="AE62" i="27"/>
  <c r="AD62" i="27"/>
  <c r="AC62" i="27"/>
  <c r="AB62" i="27"/>
  <c r="Z62" i="27"/>
  <c r="Y62" i="27"/>
  <c r="X62" i="27"/>
  <c r="W62" i="27"/>
  <c r="V62" i="27"/>
  <c r="U62" i="27"/>
  <c r="T62" i="27"/>
  <c r="S62" i="27"/>
  <c r="AG61" i="27"/>
  <c r="AF61" i="27"/>
  <c r="AE61" i="27"/>
  <c r="AD61" i="27"/>
  <c r="AC61" i="27"/>
  <c r="AB61" i="27"/>
  <c r="Z61" i="27"/>
  <c r="Y61" i="27"/>
  <c r="X61" i="27"/>
  <c r="W61" i="27"/>
  <c r="V61" i="27"/>
  <c r="U61" i="27"/>
  <c r="T61" i="27"/>
  <c r="S61" i="27"/>
  <c r="Q56" i="27"/>
  <c r="P56" i="27"/>
  <c r="O56" i="27"/>
  <c r="N56" i="27"/>
  <c r="M56" i="27"/>
  <c r="L56" i="27"/>
  <c r="K56" i="27"/>
  <c r="I56" i="27"/>
  <c r="H56" i="27"/>
  <c r="G56" i="27"/>
  <c r="F56" i="27"/>
  <c r="E56" i="27"/>
  <c r="D56" i="27"/>
  <c r="C56" i="27"/>
  <c r="B56" i="27"/>
  <c r="Q55" i="27"/>
  <c r="P55" i="27"/>
  <c r="O55" i="27"/>
  <c r="N55" i="27"/>
  <c r="M55" i="27"/>
  <c r="L55" i="27"/>
  <c r="K55" i="27"/>
  <c r="I55" i="27"/>
  <c r="H55" i="27"/>
  <c r="G55" i="27"/>
  <c r="F55" i="27"/>
  <c r="E55" i="27"/>
  <c r="D55" i="27"/>
  <c r="C55" i="27"/>
  <c r="B55" i="27"/>
  <c r="Q54" i="27"/>
  <c r="P54" i="27"/>
  <c r="O54" i="27"/>
  <c r="N54" i="27"/>
  <c r="M54" i="27"/>
  <c r="L54" i="27"/>
  <c r="K54" i="27"/>
  <c r="I54" i="27"/>
  <c r="H54" i="27"/>
  <c r="G54" i="27"/>
  <c r="F54" i="27"/>
  <c r="E54" i="27"/>
  <c r="D54" i="27"/>
  <c r="C54" i="27"/>
  <c r="B54" i="27"/>
  <c r="Q44" i="27"/>
  <c r="P44" i="27"/>
  <c r="O44" i="27"/>
  <c r="N44" i="27"/>
  <c r="M44" i="27"/>
  <c r="L44" i="27"/>
  <c r="K44" i="27"/>
  <c r="I44" i="27"/>
  <c r="H44" i="27"/>
  <c r="G44" i="27"/>
  <c r="F44" i="27"/>
  <c r="E44" i="27"/>
  <c r="D44" i="27"/>
  <c r="C44" i="27"/>
  <c r="B44" i="27"/>
  <c r="Q51" i="27"/>
  <c r="P51" i="27"/>
  <c r="O51" i="27"/>
  <c r="N51" i="27"/>
  <c r="M51" i="27"/>
  <c r="L51" i="27"/>
  <c r="K51" i="27"/>
  <c r="I51" i="27"/>
  <c r="H51" i="27"/>
  <c r="G51" i="27"/>
  <c r="F51" i="27"/>
  <c r="E51" i="27"/>
  <c r="D51" i="27"/>
  <c r="C51" i="27"/>
  <c r="B51" i="27"/>
  <c r="Q50" i="27"/>
  <c r="P50" i="27"/>
  <c r="O50" i="27"/>
  <c r="N50" i="27"/>
  <c r="M50" i="27"/>
  <c r="L50" i="27"/>
  <c r="K50" i="27"/>
  <c r="I50" i="27"/>
  <c r="H50" i="27"/>
  <c r="G50" i="27"/>
  <c r="F50" i="27"/>
  <c r="E50" i="27"/>
  <c r="D50" i="27"/>
  <c r="C50" i="27"/>
  <c r="B50" i="27"/>
  <c r="Q38" i="27"/>
  <c r="P38" i="27"/>
  <c r="O38" i="27"/>
  <c r="N38" i="27"/>
  <c r="M38" i="27"/>
  <c r="L38" i="27"/>
  <c r="K38" i="27"/>
  <c r="I38" i="27"/>
  <c r="H38" i="27"/>
  <c r="G38" i="27"/>
  <c r="F38" i="27"/>
  <c r="E38" i="27"/>
  <c r="D38" i="27"/>
  <c r="C38" i="27"/>
  <c r="B38" i="27"/>
  <c r="AH42" i="27"/>
  <c r="AG42" i="27"/>
  <c r="AF42" i="27"/>
  <c r="AE42" i="27"/>
  <c r="AD42" i="27"/>
  <c r="AC42" i="27"/>
  <c r="AB42" i="27"/>
  <c r="Z42" i="27"/>
  <c r="Y42" i="27"/>
  <c r="X42" i="27"/>
  <c r="W42" i="27"/>
  <c r="V42" i="27"/>
  <c r="U42" i="27"/>
  <c r="T42" i="27"/>
  <c r="S42" i="27"/>
  <c r="AH41" i="27"/>
  <c r="AG41" i="27"/>
  <c r="AF41" i="27"/>
  <c r="AE41" i="27"/>
  <c r="AD41" i="27"/>
  <c r="AC41" i="27"/>
  <c r="AB41" i="27"/>
  <c r="Z41" i="27"/>
  <c r="Y41" i="27"/>
  <c r="X41" i="27"/>
  <c r="W41" i="27"/>
  <c r="V41" i="27"/>
  <c r="U41" i="27"/>
  <c r="T41" i="27"/>
  <c r="S41" i="27"/>
  <c r="Q43" i="27"/>
  <c r="P43" i="27"/>
  <c r="O43" i="27"/>
  <c r="N43" i="27"/>
  <c r="M43" i="27"/>
  <c r="L43" i="27"/>
  <c r="K43" i="27"/>
  <c r="I43" i="27"/>
  <c r="H43" i="27"/>
  <c r="G43" i="27"/>
  <c r="F43" i="27"/>
  <c r="E43" i="27"/>
  <c r="D43" i="27"/>
  <c r="C43" i="27"/>
  <c r="B43" i="27"/>
  <c r="AH40" i="27"/>
  <c r="AG40" i="27"/>
  <c r="AF40" i="27"/>
  <c r="AE40" i="27"/>
  <c r="AD40" i="27"/>
  <c r="AC40" i="27"/>
  <c r="AB40" i="27"/>
  <c r="Z40" i="27"/>
  <c r="Y40" i="27"/>
  <c r="X40" i="27"/>
  <c r="W40" i="27"/>
  <c r="V40" i="27"/>
  <c r="U40" i="27"/>
  <c r="T40" i="27"/>
  <c r="S40" i="27"/>
  <c r="Q42" i="27"/>
  <c r="P42" i="27"/>
  <c r="O42" i="27"/>
  <c r="N42" i="27"/>
  <c r="M42" i="27"/>
  <c r="L42" i="27"/>
  <c r="I42" i="27"/>
  <c r="H42" i="27"/>
  <c r="G42" i="27"/>
  <c r="F42" i="27"/>
  <c r="E42" i="27"/>
  <c r="D42" i="27"/>
  <c r="C42" i="27"/>
  <c r="B42" i="27"/>
  <c r="AH39" i="27"/>
  <c r="AG39" i="27"/>
  <c r="AF39" i="27"/>
  <c r="AE39" i="27"/>
  <c r="AD39" i="27"/>
  <c r="AC39" i="27"/>
  <c r="AB39" i="27"/>
  <c r="Z39" i="27"/>
  <c r="Y39" i="27"/>
  <c r="X39" i="27"/>
  <c r="W39" i="27"/>
  <c r="V39" i="27"/>
  <c r="U39" i="27"/>
  <c r="T39" i="27"/>
  <c r="S39" i="27"/>
  <c r="Q32" i="27"/>
  <c r="P32" i="27"/>
  <c r="O32" i="27"/>
  <c r="N32" i="27"/>
  <c r="M32" i="27"/>
  <c r="L32" i="27"/>
  <c r="K32" i="27"/>
  <c r="I32" i="27"/>
  <c r="H32" i="27"/>
  <c r="G32" i="27"/>
  <c r="F32" i="27"/>
  <c r="E32" i="27"/>
  <c r="D32" i="27"/>
  <c r="C32" i="27"/>
  <c r="B32" i="27"/>
  <c r="AH38" i="27"/>
  <c r="AG38" i="27"/>
  <c r="AF38" i="27"/>
  <c r="AE38" i="27"/>
  <c r="AD38" i="27"/>
  <c r="AC38" i="27"/>
  <c r="AB38" i="27"/>
  <c r="Z38" i="27"/>
  <c r="Y38" i="27"/>
  <c r="X38" i="27"/>
  <c r="W38" i="27"/>
  <c r="V38" i="27"/>
  <c r="U38" i="27"/>
  <c r="T38" i="27"/>
  <c r="S38" i="27"/>
  <c r="Q41" i="27"/>
  <c r="P41" i="27"/>
  <c r="O41" i="27"/>
  <c r="N41" i="27"/>
  <c r="M41" i="27"/>
  <c r="L41" i="27"/>
  <c r="K41" i="27"/>
  <c r="I41" i="27"/>
  <c r="H41" i="27"/>
  <c r="G41" i="27"/>
  <c r="F41" i="27"/>
  <c r="E41" i="27"/>
  <c r="D41" i="27"/>
  <c r="C41" i="27"/>
  <c r="B41" i="27"/>
  <c r="AH32" i="27"/>
  <c r="AG32" i="27"/>
  <c r="AF32" i="27"/>
  <c r="AE32" i="27"/>
  <c r="AD32" i="27"/>
  <c r="AC32" i="27"/>
  <c r="Z32" i="27"/>
  <c r="Y32" i="27"/>
  <c r="X32" i="27"/>
  <c r="W32" i="27"/>
  <c r="V32" i="27"/>
  <c r="U32" i="27"/>
  <c r="T32" i="27"/>
  <c r="S32" i="27"/>
  <c r="Q40" i="27"/>
  <c r="P40" i="27"/>
  <c r="O40" i="27"/>
  <c r="N40" i="27"/>
  <c r="M40" i="27"/>
  <c r="L40" i="27"/>
  <c r="K40" i="27"/>
  <c r="I40" i="27"/>
  <c r="H40" i="27"/>
  <c r="G40" i="27"/>
  <c r="F40" i="27"/>
  <c r="E40" i="27"/>
  <c r="D40" i="27"/>
  <c r="C40" i="27"/>
  <c r="B40" i="27"/>
  <c r="AH29" i="27"/>
  <c r="AG29" i="27"/>
  <c r="AF29" i="27"/>
  <c r="AE29" i="27"/>
  <c r="AD29" i="27"/>
  <c r="AC29" i="27"/>
  <c r="AB29" i="27"/>
  <c r="Z29" i="27"/>
  <c r="Y29" i="27"/>
  <c r="X29" i="27"/>
  <c r="W29" i="27"/>
  <c r="V29" i="27"/>
  <c r="U29" i="27"/>
  <c r="T29" i="27"/>
  <c r="S29" i="27"/>
  <c r="Q39" i="27"/>
  <c r="P39" i="27"/>
  <c r="O39" i="27"/>
  <c r="N39" i="27"/>
  <c r="M39" i="27"/>
  <c r="L39" i="27"/>
  <c r="K39" i="27"/>
  <c r="I39" i="27"/>
  <c r="H39" i="27"/>
  <c r="G39" i="27"/>
  <c r="F39" i="27"/>
  <c r="E39" i="27"/>
  <c r="D39" i="27"/>
  <c r="C39" i="27"/>
  <c r="B39" i="27"/>
  <c r="AH33" i="27"/>
  <c r="AG33" i="27"/>
  <c r="AF33" i="27"/>
  <c r="AE33" i="27"/>
  <c r="AD33" i="27"/>
  <c r="AC33" i="27"/>
  <c r="AB33" i="27"/>
  <c r="Z33" i="27"/>
  <c r="Y33" i="27"/>
  <c r="X33" i="27"/>
  <c r="W33" i="27"/>
  <c r="V33" i="27"/>
  <c r="U33" i="27"/>
  <c r="T33" i="27"/>
  <c r="S33" i="27"/>
  <c r="AH31" i="27"/>
  <c r="AG31" i="27"/>
  <c r="AF31" i="27"/>
  <c r="AE31" i="27"/>
  <c r="AD31" i="27"/>
  <c r="AC31" i="27"/>
  <c r="AB31" i="27"/>
  <c r="Z31" i="27"/>
  <c r="Y31" i="27"/>
  <c r="X31" i="27"/>
  <c r="W31" i="27"/>
  <c r="V31" i="27"/>
  <c r="U31" i="27"/>
  <c r="T31" i="27"/>
  <c r="S31" i="27"/>
  <c r="Q31" i="27"/>
  <c r="P31" i="27"/>
  <c r="O31" i="27"/>
  <c r="N31" i="27"/>
  <c r="M31" i="27"/>
  <c r="L31" i="27"/>
  <c r="K31" i="27"/>
  <c r="I31" i="27"/>
  <c r="H31" i="27"/>
  <c r="G31" i="27"/>
  <c r="F31" i="27"/>
  <c r="E31" i="27"/>
  <c r="D31" i="27"/>
  <c r="C31" i="27"/>
  <c r="B31" i="27"/>
  <c r="AH30" i="27"/>
  <c r="AG30" i="27"/>
  <c r="AF30" i="27"/>
  <c r="AE30" i="27"/>
  <c r="AD30" i="27"/>
  <c r="AC30" i="27"/>
  <c r="AB30" i="27"/>
  <c r="Z30" i="27"/>
  <c r="Y30" i="27"/>
  <c r="X30" i="27"/>
  <c r="W30" i="27"/>
  <c r="V30" i="27"/>
  <c r="U30" i="27"/>
  <c r="T30" i="27"/>
  <c r="S30" i="27"/>
  <c r="Q30" i="27"/>
  <c r="P30" i="27"/>
  <c r="O30" i="27"/>
  <c r="N30" i="27"/>
  <c r="M30" i="27"/>
  <c r="L30" i="27"/>
  <c r="K30" i="27"/>
  <c r="I30" i="27"/>
  <c r="H30" i="27"/>
  <c r="G30" i="27"/>
  <c r="F30" i="27"/>
  <c r="E30" i="27"/>
  <c r="D30" i="27"/>
  <c r="C30" i="27"/>
  <c r="B30" i="27"/>
  <c r="AH28" i="27"/>
  <c r="AG28" i="27"/>
  <c r="AF28" i="27"/>
  <c r="AE28" i="27"/>
  <c r="AD28" i="27"/>
  <c r="AC28" i="27"/>
  <c r="AB28" i="27"/>
  <c r="Z28" i="27"/>
  <c r="Y28" i="27"/>
  <c r="X28" i="27"/>
  <c r="W28" i="27"/>
  <c r="V28" i="27"/>
  <c r="U28" i="27"/>
  <c r="T28" i="27"/>
  <c r="S28" i="27"/>
  <c r="Q29" i="27"/>
  <c r="P29" i="27"/>
  <c r="O29" i="27"/>
  <c r="N29" i="27"/>
  <c r="M29" i="27"/>
  <c r="L29" i="27"/>
  <c r="I29" i="27"/>
  <c r="H29" i="27"/>
  <c r="G29" i="27"/>
  <c r="F29" i="27"/>
  <c r="E29" i="27"/>
  <c r="D29" i="27"/>
  <c r="C29" i="27"/>
  <c r="B29" i="27"/>
  <c r="AH21" i="27"/>
  <c r="AG21" i="27"/>
  <c r="AF21" i="27"/>
  <c r="AE21" i="27"/>
  <c r="AD21" i="27"/>
  <c r="AC21" i="27"/>
  <c r="AB21" i="27"/>
  <c r="Z21" i="27"/>
  <c r="Y21" i="27"/>
  <c r="X21" i="27"/>
  <c r="W21" i="27"/>
  <c r="V21" i="27"/>
  <c r="U21" i="27"/>
  <c r="T21" i="27"/>
  <c r="S21" i="27"/>
  <c r="Q28" i="27"/>
  <c r="P28" i="27"/>
  <c r="O28" i="27"/>
  <c r="N28" i="27"/>
  <c r="M28" i="27"/>
  <c r="L28" i="27"/>
  <c r="K28" i="27"/>
  <c r="I28" i="27"/>
  <c r="H28" i="27"/>
  <c r="G28" i="27"/>
  <c r="F28" i="27"/>
  <c r="E28" i="27"/>
  <c r="D28" i="27"/>
  <c r="C28" i="27"/>
  <c r="B28" i="27"/>
  <c r="AH27" i="27"/>
  <c r="AG27" i="27"/>
  <c r="AF27" i="27"/>
  <c r="AE27" i="27"/>
  <c r="AD27" i="27"/>
  <c r="AC27" i="27"/>
  <c r="Z27" i="27"/>
  <c r="Y27" i="27"/>
  <c r="X27" i="27"/>
  <c r="W27" i="27"/>
  <c r="V27" i="27"/>
  <c r="U27" i="27"/>
  <c r="T27" i="27"/>
  <c r="S27" i="27"/>
  <c r="Q27" i="27"/>
  <c r="P27" i="27"/>
  <c r="O27" i="27"/>
  <c r="N27" i="27"/>
  <c r="M27" i="27"/>
  <c r="L27" i="27"/>
  <c r="K27" i="27"/>
  <c r="I27" i="27"/>
  <c r="H27" i="27"/>
  <c r="G27" i="27"/>
  <c r="F27" i="27"/>
  <c r="E27" i="27"/>
  <c r="D27" i="27"/>
  <c r="C27" i="27"/>
  <c r="B27" i="27"/>
  <c r="AH26" i="27"/>
  <c r="AG26" i="27"/>
  <c r="AF26" i="27"/>
  <c r="AE26" i="27"/>
  <c r="AD26" i="27"/>
  <c r="AC26" i="27"/>
  <c r="Z26" i="27"/>
  <c r="Y26" i="27"/>
  <c r="X26" i="27"/>
  <c r="W26" i="27"/>
  <c r="V26" i="27"/>
  <c r="U26" i="27"/>
  <c r="T26" i="27"/>
  <c r="S26" i="27"/>
  <c r="Q26" i="27"/>
  <c r="P26" i="27"/>
  <c r="O26" i="27"/>
  <c r="N26" i="27"/>
  <c r="M26" i="27"/>
  <c r="L26" i="27"/>
  <c r="I26" i="27"/>
  <c r="H26" i="27"/>
  <c r="G26" i="27"/>
  <c r="F26" i="27"/>
  <c r="E26" i="27"/>
  <c r="D26" i="27"/>
  <c r="C26" i="27"/>
  <c r="B26" i="27"/>
  <c r="AH20" i="27"/>
  <c r="AG20" i="27"/>
  <c r="AF20" i="27"/>
  <c r="AE20" i="27"/>
  <c r="AD20" i="27"/>
  <c r="AC20" i="27"/>
  <c r="Z20" i="27"/>
  <c r="Y20" i="27"/>
  <c r="X20" i="27"/>
  <c r="W20" i="27"/>
  <c r="V20" i="27"/>
  <c r="U20" i="27"/>
  <c r="T20" i="27"/>
  <c r="S20" i="27"/>
  <c r="Q20" i="27"/>
  <c r="P20" i="27"/>
  <c r="O20" i="27"/>
  <c r="N20" i="27"/>
  <c r="M20" i="27"/>
  <c r="L20" i="27"/>
  <c r="K20" i="27"/>
  <c r="I20" i="27"/>
  <c r="H20" i="27"/>
  <c r="G20" i="27"/>
  <c r="F20" i="27"/>
  <c r="E20" i="27"/>
  <c r="D20" i="27"/>
  <c r="C20" i="27"/>
  <c r="B20" i="27"/>
  <c r="AH19" i="27"/>
  <c r="AG19" i="27"/>
  <c r="AF19" i="27"/>
  <c r="AE19" i="27"/>
  <c r="AD19" i="27"/>
  <c r="AC19" i="27"/>
  <c r="AB19" i="27"/>
  <c r="Z19" i="27"/>
  <c r="Y19" i="27"/>
  <c r="X19" i="27"/>
  <c r="W19" i="27"/>
  <c r="V19" i="27"/>
  <c r="U19" i="27"/>
  <c r="T19" i="27"/>
  <c r="S19" i="27"/>
  <c r="Q19" i="27"/>
  <c r="P19" i="27"/>
  <c r="O19" i="27"/>
  <c r="N19" i="27"/>
  <c r="M19" i="27"/>
  <c r="L19" i="27"/>
  <c r="K19" i="27"/>
  <c r="I19" i="27"/>
  <c r="H19" i="27"/>
  <c r="G19" i="27"/>
  <c r="F19" i="27"/>
  <c r="E19" i="27"/>
  <c r="D19" i="27"/>
  <c r="C19" i="27"/>
  <c r="B19" i="27"/>
  <c r="Q18" i="27"/>
  <c r="P18" i="27"/>
  <c r="O18" i="27"/>
  <c r="N18" i="27"/>
  <c r="M18" i="27"/>
  <c r="L18" i="27"/>
  <c r="K18" i="27"/>
  <c r="I18" i="27"/>
  <c r="H18" i="27"/>
  <c r="G18" i="27"/>
  <c r="F18" i="27"/>
  <c r="E18" i="27"/>
  <c r="D18" i="27"/>
  <c r="C18" i="27"/>
  <c r="B18" i="27"/>
  <c r="AH17" i="27"/>
  <c r="AG17" i="27"/>
  <c r="AF17" i="27"/>
  <c r="AE17" i="27"/>
  <c r="AD17" i="27"/>
  <c r="AC17" i="27"/>
  <c r="AB17" i="27"/>
  <c r="Z17" i="27"/>
  <c r="Y17" i="27"/>
  <c r="X17" i="27"/>
  <c r="W17" i="27"/>
  <c r="V17" i="27"/>
  <c r="U17" i="27"/>
  <c r="T17" i="27"/>
  <c r="S17" i="27"/>
  <c r="Q17" i="27"/>
  <c r="P17" i="27"/>
  <c r="O17" i="27"/>
  <c r="N17" i="27"/>
  <c r="M17" i="27"/>
  <c r="L17" i="27"/>
  <c r="K17" i="27"/>
  <c r="I17" i="27"/>
  <c r="H17" i="27"/>
  <c r="G17" i="27"/>
  <c r="F17" i="27"/>
  <c r="E17" i="27"/>
  <c r="D17" i="27"/>
  <c r="C17" i="27"/>
  <c r="B17" i="27"/>
  <c r="AH16" i="27"/>
  <c r="AG16" i="27"/>
  <c r="AF16" i="27"/>
  <c r="AE16" i="27"/>
  <c r="AD16" i="27"/>
  <c r="AC16" i="27"/>
  <c r="AB16" i="27"/>
  <c r="Z16" i="27"/>
  <c r="Y16" i="27"/>
  <c r="X16" i="27"/>
  <c r="W16" i="27"/>
  <c r="V16" i="27"/>
  <c r="U16" i="27"/>
  <c r="T16" i="27"/>
  <c r="S16" i="27"/>
  <c r="Q16" i="27"/>
  <c r="P16" i="27"/>
  <c r="O16" i="27"/>
  <c r="N16" i="27"/>
  <c r="M16" i="27"/>
  <c r="L16" i="27"/>
  <c r="K16" i="27"/>
  <c r="I16" i="27"/>
  <c r="H16" i="27"/>
  <c r="G16" i="27"/>
  <c r="F16" i="27"/>
  <c r="E16" i="27"/>
  <c r="D16" i="27"/>
  <c r="C16" i="27"/>
  <c r="B16" i="27"/>
  <c r="AH15" i="27"/>
  <c r="AG15" i="27"/>
  <c r="AF15" i="27"/>
  <c r="AE15" i="27"/>
  <c r="AD15" i="27"/>
  <c r="AC15" i="27"/>
  <c r="AB15" i="27"/>
  <c r="Z15" i="27"/>
  <c r="Y15" i="27"/>
  <c r="X15" i="27"/>
  <c r="W15" i="27"/>
  <c r="V15" i="27"/>
  <c r="U15" i="27"/>
  <c r="T15" i="27"/>
  <c r="S15" i="27"/>
  <c r="Q15" i="27"/>
  <c r="P15" i="27"/>
  <c r="O15" i="27"/>
  <c r="N15" i="27"/>
  <c r="M15" i="27"/>
  <c r="L15" i="27"/>
  <c r="K15" i="27"/>
  <c r="I15" i="27"/>
  <c r="H15" i="27"/>
  <c r="G15" i="27"/>
  <c r="F15" i="27"/>
  <c r="E15" i="27"/>
  <c r="D15" i="27"/>
  <c r="C15" i="27"/>
  <c r="B15" i="27"/>
  <c r="AH14" i="27"/>
  <c r="AG14" i="27"/>
  <c r="AF14" i="27"/>
  <c r="AE14" i="27"/>
  <c r="AD14" i="27"/>
  <c r="AC14" i="27"/>
  <c r="Z14" i="27"/>
  <c r="Y14" i="27"/>
  <c r="X14" i="27"/>
  <c r="W14" i="27"/>
  <c r="V14" i="27"/>
  <c r="U14" i="27"/>
  <c r="T14" i="27"/>
  <c r="S14" i="27"/>
  <c r="Q14" i="27"/>
  <c r="P14" i="27"/>
  <c r="O14" i="27"/>
  <c r="N14" i="27"/>
  <c r="M14" i="27"/>
  <c r="L14" i="27"/>
  <c r="K14" i="27"/>
  <c r="I14" i="27"/>
  <c r="H14" i="27"/>
  <c r="G14" i="27"/>
  <c r="F14" i="27"/>
  <c r="E14" i="27"/>
  <c r="D14" i="27"/>
  <c r="C14" i="27"/>
  <c r="B14" i="27"/>
  <c r="AG69" i="26"/>
  <c r="AF69" i="26"/>
  <c r="AE69" i="26"/>
  <c r="AD69" i="26"/>
  <c r="AC69" i="26"/>
  <c r="Z69" i="26"/>
  <c r="Y69" i="26"/>
  <c r="X69" i="26"/>
  <c r="W69" i="26"/>
  <c r="V69" i="26"/>
  <c r="U69" i="26"/>
  <c r="T69" i="26"/>
  <c r="S69" i="26"/>
  <c r="AG68" i="26"/>
  <c r="AF68" i="26"/>
  <c r="AE68" i="26"/>
  <c r="AD68" i="26"/>
  <c r="AC68" i="26"/>
  <c r="AB68" i="26"/>
  <c r="Z68" i="26"/>
  <c r="Y68" i="26"/>
  <c r="X68" i="26"/>
  <c r="W68" i="26"/>
  <c r="V68" i="26"/>
  <c r="U68" i="26"/>
  <c r="T68" i="26"/>
  <c r="S68" i="26"/>
  <c r="AG67" i="26"/>
  <c r="AF67" i="26"/>
  <c r="AE67" i="26"/>
  <c r="AD67" i="26"/>
  <c r="AC67" i="26"/>
  <c r="AB67" i="26"/>
  <c r="Z67" i="26"/>
  <c r="Y67" i="26"/>
  <c r="X67" i="26"/>
  <c r="W67" i="26"/>
  <c r="V67" i="26"/>
  <c r="U67" i="26"/>
  <c r="T67" i="26"/>
  <c r="S67" i="26"/>
  <c r="AG66" i="26"/>
  <c r="AF66" i="26"/>
  <c r="AE66" i="26"/>
  <c r="AD66" i="26"/>
  <c r="AC66" i="26"/>
  <c r="AB66" i="26"/>
  <c r="Z66" i="26"/>
  <c r="Y66" i="26"/>
  <c r="X66" i="26"/>
  <c r="W66" i="26"/>
  <c r="V66" i="26"/>
  <c r="U66" i="26"/>
  <c r="T66" i="26"/>
  <c r="S66" i="26"/>
  <c r="AG64" i="26"/>
  <c r="AF64" i="26"/>
  <c r="AE64" i="26"/>
  <c r="AD64" i="26"/>
  <c r="AC64" i="26"/>
  <c r="AB64" i="26"/>
  <c r="Z64" i="26"/>
  <c r="Y64" i="26"/>
  <c r="X64" i="26"/>
  <c r="W64" i="26"/>
  <c r="V64" i="26"/>
  <c r="U64" i="26"/>
  <c r="T64" i="26"/>
  <c r="S64" i="26"/>
  <c r="AG63" i="26"/>
  <c r="AF63" i="26"/>
  <c r="AE63" i="26"/>
  <c r="AD63" i="26"/>
  <c r="AC63" i="26"/>
  <c r="AB63" i="26"/>
  <c r="Z63" i="26"/>
  <c r="Y63" i="26"/>
  <c r="X63" i="26"/>
  <c r="W63" i="26"/>
  <c r="V63" i="26"/>
  <c r="U63" i="26"/>
  <c r="T63" i="26"/>
  <c r="S63" i="26"/>
  <c r="AG62" i="26"/>
  <c r="AF62" i="26"/>
  <c r="AE62" i="26"/>
  <c r="AD62" i="26"/>
  <c r="AC62" i="26"/>
  <c r="AB62" i="26"/>
  <c r="Z62" i="26"/>
  <c r="Y62" i="26"/>
  <c r="X62" i="26"/>
  <c r="W62" i="26"/>
  <c r="V62" i="26"/>
  <c r="U62" i="26"/>
  <c r="T62" i="26"/>
  <c r="S62" i="26"/>
  <c r="AG61" i="26"/>
  <c r="AF61" i="26"/>
  <c r="AE61" i="26"/>
  <c r="AD61" i="26"/>
  <c r="AC61" i="26"/>
  <c r="AB61" i="26"/>
  <c r="Z61" i="26"/>
  <c r="Y61" i="26"/>
  <c r="X61" i="26"/>
  <c r="W61" i="26"/>
  <c r="V61" i="26"/>
  <c r="U61" i="26"/>
  <c r="T61" i="26"/>
  <c r="S61" i="26"/>
  <c r="C52" i="26"/>
  <c r="D52" i="26"/>
  <c r="E52" i="26"/>
  <c r="F52" i="26"/>
  <c r="G52" i="26"/>
  <c r="H52" i="26"/>
  <c r="I52" i="26"/>
  <c r="K52" i="26"/>
  <c r="L52" i="26"/>
  <c r="M52" i="26"/>
  <c r="N52" i="26"/>
  <c r="O52" i="26"/>
  <c r="P52" i="26"/>
  <c r="Q52" i="26"/>
  <c r="B52" i="26"/>
  <c r="C51" i="26"/>
  <c r="D51" i="26"/>
  <c r="E51" i="26"/>
  <c r="F51" i="26"/>
  <c r="G51" i="26"/>
  <c r="H51" i="26"/>
  <c r="I51" i="26"/>
  <c r="K51" i="26"/>
  <c r="L51" i="26"/>
  <c r="M51" i="26"/>
  <c r="N51" i="26"/>
  <c r="O51" i="26"/>
  <c r="P51" i="26"/>
  <c r="Q51" i="26"/>
  <c r="B51" i="26"/>
  <c r="T42" i="26"/>
  <c r="U42" i="26"/>
  <c r="V42" i="26"/>
  <c r="W42" i="26"/>
  <c r="X42" i="26"/>
  <c r="Y42" i="26"/>
  <c r="Z42" i="26"/>
  <c r="AB42" i="26"/>
  <c r="AC42" i="26"/>
  <c r="AD42" i="26"/>
  <c r="AE42" i="26"/>
  <c r="AF42" i="26"/>
  <c r="AG42" i="26"/>
  <c r="AH42" i="26"/>
  <c r="S42" i="26"/>
  <c r="T39" i="26"/>
  <c r="U39" i="26"/>
  <c r="V39" i="26"/>
  <c r="W39" i="26"/>
  <c r="X39" i="26"/>
  <c r="Y39" i="26"/>
  <c r="Z39" i="26"/>
  <c r="AC39" i="26"/>
  <c r="AD39" i="26"/>
  <c r="AE39" i="26"/>
  <c r="AF39" i="26"/>
  <c r="AG39" i="26"/>
  <c r="AH39" i="26"/>
  <c r="S39" i="26"/>
  <c r="C43" i="26"/>
  <c r="D43" i="26"/>
  <c r="E43" i="26"/>
  <c r="F43" i="26"/>
  <c r="G43" i="26"/>
  <c r="H43" i="26"/>
  <c r="I43" i="26"/>
  <c r="K43" i="26"/>
  <c r="L43" i="26"/>
  <c r="M43" i="26"/>
  <c r="N43" i="26"/>
  <c r="O43" i="26"/>
  <c r="P43" i="26"/>
  <c r="Q43" i="26"/>
  <c r="B43" i="26"/>
  <c r="C39" i="26"/>
  <c r="D39" i="26"/>
  <c r="E39" i="26"/>
  <c r="F39" i="26"/>
  <c r="G39" i="26"/>
  <c r="H39" i="26"/>
  <c r="I39" i="26"/>
  <c r="K39" i="26"/>
  <c r="L39" i="26"/>
  <c r="M39" i="26"/>
  <c r="N39" i="26"/>
  <c r="O39" i="26"/>
  <c r="P39" i="26"/>
  <c r="Q39" i="26"/>
  <c r="B39" i="26"/>
  <c r="AH55" i="26"/>
  <c r="AG55" i="26"/>
  <c r="AF55" i="26"/>
  <c r="AE55" i="26"/>
  <c r="AD55" i="26"/>
  <c r="AC55" i="26"/>
  <c r="AB55" i="26"/>
  <c r="Z55" i="26"/>
  <c r="Y55" i="26"/>
  <c r="X55" i="26"/>
  <c r="W55" i="26"/>
  <c r="V55" i="26"/>
  <c r="U55" i="26"/>
  <c r="T55" i="26"/>
  <c r="S55" i="26"/>
  <c r="Q55" i="26"/>
  <c r="P55" i="26"/>
  <c r="O55" i="26"/>
  <c r="N55" i="26"/>
  <c r="M55" i="26"/>
  <c r="L55" i="26"/>
  <c r="K55" i="26"/>
  <c r="I55" i="26"/>
  <c r="H55" i="26"/>
  <c r="G55" i="26"/>
  <c r="F55" i="26"/>
  <c r="E55" i="26"/>
  <c r="D55" i="26"/>
  <c r="C55" i="26"/>
  <c r="B55" i="26"/>
  <c r="AH54" i="26"/>
  <c r="AG54" i="26"/>
  <c r="AF54" i="26"/>
  <c r="AE54" i="26"/>
  <c r="AD54" i="26"/>
  <c r="AC54" i="26"/>
  <c r="AB54" i="26"/>
  <c r="Z54" i="26"/>
  <c r="Y54" i="26"/>
  <c r="X54" i="26"/>
  <c r="W54" i="26"/>
  <c r="V54" i="26"/>
  <c r="U54" i="26"/>
  <c r="T54" i="26"/>
  <c r="S54" i="26"/>
  <c r="Q54" i="26"/>
  <c r="P54" i="26"/>
  <c r="O54" i="26"/>
  <c r="N54" i="26"/>
  <c r="M54" i="26"/>
  <c r="L54" i="26"/>
  <c r="K54" i="26"/>
  <c r="I54" i="26"/>
  <c r="H54" i="26"/>
  <c r="G54" i="26"/>
  <c r="F54" i="26"/>
  <c r="E54" i="26"/>
  <c r="D54" i="26"/>
  <c r="C54" i="26"/>
  <c r="B54" i="26"/>
  <c r="AH53" i="26"/>
  <c r="AG53" i="26"/>
  <c r="AF53" i="26"/>
  <c r="AE53" i="26"/>
  <c r="AD53" i="26"/>
  <c r="AC53" i="26"/>
  <c r="AB53" i="26"/>
  <c r="Z53" i="26"/>
  <c r="Y53" i="26"/>
  <c r="X53" i="26"/>
  <c r="W53" i="26"/>
  <c r="V53" i="26"/>
  <c r="U53" i="26"/>
  <c r="T53" i="26"/>
  <c r="S53" i="26"/>
  <c r="Q53" i="26"/>
  <c r="P53" i="26"/>
  <c r="O53" i="26"/>
  <c r="N53" i="26"/>
  <c r="M53" i="26"/>
  <c r="L53" i="26"/>
  <c r="K53" i="26"/>
  <c r="I53" i="26"/>
  <c r="H53" i="26"/>
  <c r="G53" i="26"/>
  <c r="F53" i="26"/>
  <c r="E53" i="26"/>
  <c r="D53" i="26"/>
  <c r="C53" i="26"/>
  <c r="B53" i="26"/>
  <c r="Q50" i="26"/>
  <c r="P50" i="26"/>
  <c r="O50" i="26"/>
  <c r="N50" i="26"/>
  <c r="M50" i="26"/>
  <c r="L50" i="26"/>
  <c r="K50" i="26"/>
  <c r="I50" i="26"/>
  <c r="H50" i="26"/>
  <c r="G50" i="26"/>
  <c r="F50" i="26"/>
  <c r="E50" i="26"/>
  <c r="D50" i="26"/>
  <c r="C50" i="26"/>
  <c r="B50" i="26"/>
  <c r="AH44" i="26"/>
  <c r="AG44" i="26"/>
  <c r="AF44" i="26"/>
  <c r="AE44" i="26"/>
  <c r="AD44" i="26"/>
  <c r="AC44" i="26"/>
  <c r="AB44" i="26"/>
  <c r="Z44" i="26"/>
  <c r="Y44" i="26"/>
  <c r="X44" i="26"/>
  <c r="W44" i="26"/>
  <c r="V44" i="26"/>
  <c r="U44" i="26"/>
  <c r="T44" i="26"/>
  <c r="S44" i="26"/>
  <c r="AH43" i="26"/>
  <c r="AG43" i="26"/>
  <c r="AF43" i="26"/>
  <c r="AE43" i="26"/>
  <c r="AD43" i="26"/>
  <c r="AC43" i="26"/>
  <c r="AB43" i="26"/>
  <c r="Z43" i="26"/>
  <c r="Y43" i="26"/>
  <c r="X43" i="26"/>
  <c r="W43" i="26"/>
  <c r="V43" i="26"/>
  <c r="U43" i="26"/>
  <c r="T43" i="26"/>
  <c r="S43" i="26"/>
  <c r="Q42" i="26"/>
  <c r="P42" i="26"/>
  <c r="O42" i="26"/>
  <c r="N42" i="26"/>
  <c r="M42" i="26"/>
  <c r="L42" i="26"/>
  <c r="I42" i="26"/>
  <c r="H42" i="26"/>
  <c r="G42" i="26"/>
  <c r="F42" i="26"/>
  <c r="E42" i="26"/>
  <c r="D42" i="26"/>
  <c r="C42" i="26"/>
  <c r="B42" i="26"/>
  <c r="AH41" i="26"/>
  <c r="AG41" i="26"/>
  <c r="AF41" i="26"/>
  <c r="AE41" i="26"/>
  <c r="AD41" i="26"/>
  <c r="AC41" i="26"/>
  <c r="AB41" i="26"/>
  <c r="Z41" i="26"/>
  <c r="Y41" i="26"/>
  <c r="X41" i="26"/>
  <c r="W41" i="26"/>
  <c r="V41" i="26"/>
  <c r="U41" i="26"/>
  <c r="T41" i="26"/>
  <c r="S41" i="26"/>
  <c r="AH40" i="26"/>
  <c r="AG40" i="26"/>
  <c r="AF40" i="26"/>
  <c r="AE40" i="26"/>
  <c r="AD40" i="26"/>
  <c r="AC40" i="26"/>
  <c r="AB40" i="26"/>
  <c r="Z40" i="26"/>
  <c r="Y40" i="26"/>
  <c r="X40" i="26"/>
  <c r="W40" i="26"/>
  <c r="V40" i="26"/>
  <c r="U40" i="26"/>
  <c r="T40" i="26"/>
  <c r="S40" i="26"/>
  <c r="Q41" i="26"/>
  <c r="P41" i="26"/>
  <c r="O41" i="26"/>
  <c r="N41" i="26"/>
  <c r="M41" i="26"/>
  <c r="L41" i="26"/>
  <c r="K41" i="26"/>
  <c r="I41" i="26"/>
  <c r="H41" i="26"/>
  <c r="G41" i="26"/>
  <c r="F41" i="26"/>
  <c r="E41" i="26"/>
  <c r="D41" i="26"/>
  <c r="C41" i="26"/>
  <c r="B41" i="26"/>
  <c r="Q40" i="26"/>
  <c r="P40" i="26"/>
  <c r="O40" i="26"/>
  <c r="N40" i="26"/>
  <c r="M40" i="26"/>
  <c r="L40" i="26"/>
  <c r="K40" i="26"/>
  <c r="I40" i="26"/>
  <c r="H40" i="26"/>
  <c r="G40" i="26"/>
  <c r="F40" i="26"/>
  <c r="E40" i="26"/>
  <c r="D40" i="26"/>
  <c r="C40" i="26"/>
  <c r="B40" i="26"/>
  <c r="AH38" i="26"/>
  <c r="AG38" i="26"/>
  <c r="AF38" i="26"/>
  <c r="AE38" i="26"/>
  <c r="AD38" i="26"/>
  <c r="AC38" i="26"/>
  <c r="AB38" i="26"/>
  <c r="Z38" i="26"/>
  <c r="Y38" i="26"/>
  <c r="X38" i="26"/>
  <c r="W38" i="26"/>
  <c r="V38" i="26"/>
  <c r="U38" i="26"/>
  <c r="T38" i="26"/>
  <c r="S38" i="26"/>
  <c r="Q38" i="26"/>
  <c r="P38" i="26"/>
  <c r="O38" i="26"/>
  <c r="N38" i="26"/>
  <c r="M38" i="26"/>
  <c r="L38" i="26"/>
  <c r="K38" i="26"/>
  <c r="I38" i="26"/>
  <c r="H38" i="26"/>
  <c r="G38" i="26"/>
  <c r="F38" i="26"/>
  <c r="E38" i="26"/>
  <c r="D38" i="26"/>
  <c r="C38" i="26"/>
  <c r="B38" i="26"/>
  <c r="AH32" i="26"/>
  <c r="AG32" i="26"/>
  <c r="AF32" i="26"/>
  <c r="AE32" i="26"/>
  <c r="AD32" i="26"/>
  <c r="AC32" i="26"/>
  <c r="AB32" i="26"/>
  <c r="Z32" i="26"/>
  <c r="Y32" i="26"/>
  <c r="X32" i="26"/>
  <c r="W32" i="26"/>
  <c r="V32" i="26"/>
  <c r="U32" i="26"/>
  <c r="T32" i="26"/>
  <c r="S32" i="26"/>
  <c r="AH31" i="26"/>
  <c r="AG31" i="26"/>
  <c r="AF31" i="26"/>
  <c r="AE31" i="26"/>
  <c r="AD31" i="26"/>
  <c r="AC31" i="26"/>
  <c r="AB31" i="26"/>
  <c r="Z31" i="26"/>
  <c r="Y31" i="26"/>
  <c r="X31" i="26"/>
  <c r="W31" i="26"/>
  <c r="V31" i="26"/>
  <c r="U31" i="26"/>
  <c r="T31" i="26"/>
  <c r="S31" i="26"/>
  <c r="Q31" i="26"/>
  <c r="P31" i="26"/>
  <c r="O31" i="26"/>
  <c r="N31" i="26"/>
  <c r="M31" i="26"/>
  <c r="L31" i="26"/>
  <c r="K31" i="26"/>
  <c r="I31" i="26"/>
  <c r="H31" i="26"/>
  <c r="G31" i="26"/>
  <c r="F31" i="26"/>
  <c r="E31" i="26"/>
  <c r="D31" i="26"/>
  <c r="C31" i="26"/>
  <c r="B31" i="26"/>
  <c r="AH30" i="26"/>
  <c r="AG30" i="26"/>
  <c r="AF30" i="26"/>
  <c r="AE30" i="26"/>
  <c r="AD30" i="26"/>
  <c r="AC30" i="26"/>
  <c r="AB30" i="26"/>
  <c r="Z30" i="26"/>
  <c r="Y30" i="26"/>
  <c r="X30" i="26"/>
  <c r="W30" i="26"/>
  <c r="V30" i="26"/>
  <c r="U30" i="26"/>
  <c r="T30" i="26"/>
  <c r="S30" i="26"/>
  <c r="Q30" i="26"/>
  <c r="P30" i="26"/>
  <c r="O30" i="26"/>
  <c r="N30" i="26"/>
  <c r="M30" i="26"/>
  <c r="L30" i="26"/>
  <c r="K30" i="26"/>
  <c r="I30" i="26"/>
  <c r="H30" i="26"/>
  <c r="G30" i="26"/>
  <c r="F30" i="26"/>
  <c r="E30" i="26"/>
  <c r="D30" i="26"/>
  <c r="C30" i="26"/>
  <c r="B30" i="26"/>
  <c r="AH29" i="26"/>
  <c r="AG29" i="26"/>
  <c r="AF29" i="26"/>
  <c r="AE29" i="26"/>
  <c r="AD29" i="26"/>
  <c r="AC29" i="26"/>
  <c r="AB29" i="26"/>
  <c r="Z29" i="26"/>
  <c r="Y29" i="26"/>
  <c r="X29" i="26"/>
  <c r="W29" i="26"/>
  <c r="V29" i="26"/>
  <c r="U29" i="26"/>
  <c r="T29" i="26"/>
  <c r="S29" i="26"/>
  <c r="Q29" i="26"/>
  <c r="P29" i="26"/>
  <c r="O29" i="26"/>
  <c r="N29" i="26"/>
  <c r="M29" i="26"/>
  <c r="L29" i="26"/>
  <c r="I29" i="26"/>
  <c r="H29" i="26"/>
  <c r="G29" i="26"/>
  <c r="F29" i="26"/>
  <c r="E29" i="26"/>
  <c r="D29" i="26"/>
  <c r="C29" i="26"/>
  <c r="B29" i="26"/>
  <c r="AH28" i="26"/>
  <c r="AG28" i="26"/>
  <c r="AF28" i="26"/>
  <c r="AE28" i="26"/>
  <c r="AD28" i="26"/>
  <c r="AC28" i="26"/>
  <c r="AB28" i="26"/>
  <c r="Z28" i="26"/>
  <c r="Y28" i="26"/>
  <c r="X28" i="26"/>
  <c r="W28" i="26"/>
  <c r="V28" i="26"/>
  <c r="U28" i="26"/>
  <c r="T28" i="26"/>
  <c r="S28" i="26"/>
  <c r="Q28" i="26"/>
  <c r="P28" i="26"/>
  <c r="O28" i="26"/>
  <c r="N28" i="26"/>
  <c r="M28" i="26"/>
  <c r="L28" i="26"/>
  <c r="K28" i="26"/>
  <c r="I28" i="26"/>
  <c r="H28" i="26"/>
  <c r="G28" i="26"/>
  <c r="F28" i="26"/>
  <c r="E28" i="26"/>
  <c r="D28" i="26"/>
  <c r="C28" i="26"/>
  <c r="B28" i="26"/>
  <c r="AH27" i="26"/>
  <c r="AG27" i="26"/>
  <c r="AF27" i="26"/>
  <c r="AE27" i="26"/>
  <c r="AD27" i="26"/>
  <c r="AC27" i="26"/>
  <c r="Z27" i="26"/>
  <c r="Y27" i="26"/>
  <c r="X27" i="26"/>
  <c r="W27" i="26"/>
  <c r="V27" i="26"/>
  <c r="U27" i="26"/>
  <c r="T27" i="26"/>
  <c r="S27" i="26"/>
  <c r="Q27" i="26"/>
  <c r="P27" i="26"/>
  <c r="O27" i="26"/>
  <c r="N27" i="26"/>
  <c r="M27" i="26"/>
  <c r="L27" i="26"/>
  <c r="K27" i="26"/>
  <c r="I27" i="26"/>
  <c r="H27" i="26"/>
  <c r="G27" i="26"/>
  <c r="F27" i="26"/>
  <c r="E27" i="26"/>
  <c r="D27" i="26"/>
  <c r="C27" i="26"/>
  <c r="B27" i="26"/>
  <c r="AH26" i="26"/>
  <c r="AG26" i="26"/>
  <c r="AF26" i="26"/>
  <c r="AE26" i="26"/>
  <c r="AD26" i="26"/>
  <c r="AC26" i="26"/>
  <c r="Z26" i="26"/>
  <c r="Y26" i="26"/>
  <c r="X26" i="26"/>
  <c r="W26" i="26"/>
  <c r="V26" i="26"/>
  <c r="U26" i="26"/>
  <c r="T26" i="26"/>
  <c r="S26" i="26"/>
  <c r="Q26" i="26"/>
  <c r="P26" i="26"/>
  <c r="O26" i="26"/>
  <c r="N26" i="26"/>
  <c r="M26" i="26"/>
  <c r="L26" i="26"/>
  <c r="I26" i="26"/>
  <c r="H26" i="26"/>
  <c r="G26" i="26"/>
  <c r="F26" i="26"/>
  <c r="E26" i="26"/>
  <c r="D26" i="26"/>
  <c r="C26" i="26"/>
  <c r="B26" i="26"/>
  <c r="AH20" i="26"/>
  <c r="AG20" i="26"/>
  <c r="AF20" i="26"/>
  <c r="AE20" i="26"/>
  <c r="AD20" i="26"/>
  <c r="AC20" i="26"/>
  <c r="Z20" i="26"/>
  <c r="Y20" i="26"/>
  <c r="X20" i="26"/>
  <c r="W20" i="26"/>
  <c r="V20" i="26"/>
  <c r="U20" i="26"/>
  <c r="S20" i="26"/>
  <c r="Q20" i="26"/>
  <c r="P20" i="26"/>
  <c r="O20" i="26"/>
  <c r="N20" i="26"/>
  <c r="M20" i="26"/>
  <c r="L20" i="26"/>
  <c r="K20" i="26"/>
  <c r="I20" i="26"/>
  <c r="H20" i="26"/>
  <c r="G20" i="26"/>
  <c r="F20" i="26"/>
  <c r="E20" i="26"/>
  <c r="D20" i="26"/>
  <c r="C20" i="26"/>
  <c r="B20" i="26"/>
  <c r="AH19" i="26"/>
  <c r="AG19" i="26"/>
  <c r="AF19" i="26"/>
  <c r="AE19" i="26"/>
  <c r="AD19" i="26"/>
  <c r="AC19" i="26"/>
  <c r="AB19" i="26"/>
  <c r="Z19" i="26"/>
  <c r="Y19" i="26"/>
  <c r="X19" i="26"/>
  <c r="W19" i="26"/>
  <c r="V19" i="26"/>
  <c r="U19" i="26"/>
  <c r="T19" i="26"/>
  <c r="S19" i="26"/>
  <c r="Q19" i="26"/>
  <c r="P19" i="26"/>
  <c r="O19" i="26"/>
  <c r="N19" i="26"/>
  <c r="M19" i="26"/>
  <c r="L19" i="26"/>
  <c r="K19" i="26"/>
  <c r="I19" i="26"/>
  <c r="H19" i="26"/>
  <c r="G19" i="26"/>
  <c r="F19" i="26"/>
  <c r="E19" i="26"/>
  <c r="D19" i="26"/>
  <c r="C19" i="26"/>
  <c r="B19" i="26"/>
  <c r="Q18" i="26"/>
  <c r="P18" i="26"/>
  <c r="O18" i="26"/>
  <c r="N18" i="26"/>
  <c r="M18" i="26"/>
  <c r="L18" i="26"/>
  <c r="K18" i="26"/>
  <c r="I18" i="26"/>
  <c r="H18" i="26"/>
  <c r="G18" i="26"/>
  <c r="F18" i="26"/>
  <c r="E18" i="26"/>
  <c r="D18" i="26"/>
  <c r="C18" i="26"/>
  <c r="B18" i="26"/>
  <c r="AH17" i="26"/>
  <c r="AG17" i="26"/>
  <c r="AF17" i="26"/>
  <c r="AE17" i="26"/>
  <c r="AD17" i="26"/>
  <c r="AC17" i="26"/>
  <c r="AB17" i="26"/>
  <c r="Z17" i="26"/>
  <c r="Y17" i="26"/>
  <c r="X17" i="26"/>
  <c r="W17" i="26"/>
  <c r="V17" i="26"/>
  <c r="U17" i="26"/>
  <c r="T17" i="26"/>
  <c r="S17" i="26"/>
  <c r="Q17" i="26"/>
  <c r="P17" i="26"/>
  <c r="O17" i="26"/>
  <c r="N17" i="26"/>
  <c r="M17" i="26"/>
  <c r="L17" i="26"/>
  <c r="K17" i="26"/>
  <c r="I17" i="26"/>
  <c r="H17" i="26"/>
  <c r="G17" i="26"/>
  <c r="F17" i="26"/>
  <c r="E17" i="26"/>
  <c r="D17" i="26"/>
  <c r="C17" i="26"/>
  <c r="B17" i="26"/>
  <c r="AH16" i="26"/>
  <c r="AG16" i="26"/>
  <c r="AF16" i="26"/>
  <c r="AE16" i="26"/>
  <c r="AD16" i="26"/>
  <c r="AC16" i="26"/>
  <c r="AB16" i="26"/>
  <c r="Z16" i="26"/>
  <c r="Y16" i="26"/>
  <c r="X16" i="26"/>
  <c r="W16" i="26"/>
  <c r="V16" i="26"/>
  <c r="U16" i="26"/>
  <c r="T16" i="26"/>
  <c r="S16" i="26"/>
  <c r="Q16" i="26"/>
  <c r="P16" i="26"/>
  <c r="O16" i="26"/>
  <c r="N16" i="26"/>
  <c r="M16" i="26"/>
  <c r="L16" i="26"/>
  <c r="K16" i="26"/>
  <c r="I16" i="26"/>
  <c r="H16" i="26"/>
  <c r="G16" i="26"/>
  <c r="F16" i="26"/>
  <c r="E16" i="26"/>
  <c r="D16" i="26"/>
  <c r="C16" i="26"/>
  <c r="B16" i="26"/>
  <c r="AH15" i="26"/>
  <c r="AG15" i="26"/>
  <c r="AF15" i="26"/>
  <c r="AE15" i="26"/>
  <c r="AD15" i="26"/>
  <c r="AC15" i="26"/>
  <c r="AB15" i="26"/>
  <c r="Z15" i="26"/>
  <c r="Y15" i="26"/>
  <c r="X15" i="26"/>
  <c r="W15" i="26"/>
  <c r="V15" i="26"/>
  <c r="U15" i="26"/>
  <c r="T15" i="26"/>
  <c r="S15" i="26"/>
  <c r="Q15" i="26"/>
  <c r="P15" i="26"/>
  <c r="O15" i="26"/>
  <c r="N15" i="26"/>
  <c r="M15" i="26"/>
  <c r="L15" i="26"/>
  <c r="K15" i="26"/>
  <c r="I15" i="26"/>
  <c r="H15" i="26"/>
  <c r="G15" i="26"/>
  <c r="F15" i="26"/>
  <c r="E15" i="26"/>
  <c r="D15" i="26"/>
  <c r="C15" i="26"/>
  <c r="B15" i="26"/>
  <c r="AH14" i="26"/>
  <c r="AG14" i="26"/>
  <c r="AF14" i="26"/>
  <c r="AE14" i="26"/>
  <c r="AD14" i="26"/>
  <c r="AC14" i="26"/>
  <c r="Z14" i="26"/>
  <c r="Y14" i="26"/>
  <c r="X14" i="26"/>
  <c r="W14" i="26"/>
  <c r="V14" i="26"/>
  <c r="U14" i="26"/>
  <c r="T14" i="26"/>
  <c r="S14" i="26"/>
  <c r="Q14" i="26"/>
  <c r="P14" i="26"/>
  <c r="O14" i="26"/>
  <c r="N14" i="26"/>
  <c r="M14" i="26"/>
  <c r="L14" i="26"/>
  <c r="K14" i="26"/>
  <c r="I14" i="26"/>
  <c r="H14" i="26"/>
  <c r="G14" i="26"/>
  <c r="F14" i="26"/>
  <c r="E14" i="26"/>
  <c r="D14" i="26"/>
  <c r="C14" i="26"/>
  <c r="B14" i="26"/>
  <c r="AG69" i="24"/>
  <c r="AF69" i="24"/>
  <c r="AE69" i="24"/>
  <c r="AD69" i="24"/>
  <c r="AC69" i="24"/>
  <c r="Z69" i="24"/>
  <c r="Y69" i="24"/>
  <c r="X69" i="24"/>
  <c r="W69" i="24"/>
  <c r="V69" i="24"/>
  <c r="U69" i="24"/>
  <c r="T69" i="24"/>
  <c r="S69" i="24"/>
  <c r="AG68" i="24"/>
  <c r="AF68" i="24"/>
  <c r="AE68" i="24"/>
  <c r="AD68" i="24"/>
  <c r="AC68" i="24"/>
  <c r="AB68" i="24"/>
  <c r="Z68" i="24"/>
  <c r="Y68" i="24"/>
  <c r="X68" i="24"/>
  <c r="W68" i="24"/>
  <c r="V68" i="24"/>
  <c r="U68" i="24"/>
  <c r="T68" i="24"/>
  <c r="S68" i="24"/>
  <c r="AG67" i="24"/>
  <c r="AF67" i="24"/>
  <c r="AE67" i="24"/>
  <c r="AD67" i="24"/>
  <c r="AC67" i="24"/>
  <c r="AB67" i="24"/>
  <c r="Z67" i="24"/>
  <c r="Y67" i="24"/>
  <c r="X67" i="24"/>
  <c r="W67" i="24"/>
  <c r="V67" i="24"/>
  <c r="U67" i="24"/>
  <c r="T67" i="24"/>
  <c r="S67" i="24"/>
  <c r="AG65" i="24"/>
  <c r="AF65" i="24"/>
  <c r="AE65" i="24"/>
  <c r="AD65" i="24"/>
  <c r="AC65" i="24"/>
  <c r="AB65" i="24"/>
  <c r="Z65" i="24"/>
  <c r="Y65" i="24"/>
  <c r="X65" i="24"/>
  <c r="W65" i="24"/>
  <c r="V65" i="24"/>
  <c r="U65" i="24"/>
  <c r="T65" i="24"/>
  <c r="S65" i="24"/>
  <c r="AG64" i="24"/>
  <c r="AF64" i="24"/>
  <c r="AE64" i="24"/>
  <c r="AD64" i="24"/>
  <c r="AC64" i="24"/>
  <c r="AB64" i="24"/>
  <c r="Z64" i="24"/>
  <c r="Y64" i="24"/>
  <c r="X64" i="24"/>
  <c r="W64" i="24"/>
  <c r="V64" i="24"/>
  <c r="U64" i="24"/>
  <c r="T64" i="24"/>
  <c r="S64" i="24"/>
  <c r="AG63" i="24"/>
  <c r="AF63" i="24"/>
  <c r="AE63" i="24"/>
  <c r="AD63" i="24"/>
  <c r="AC63" i="24"/>
  <c r="AB63" i="24"/>
  <c r="Z63" i="24"/>
  <c r="Y63" i="24"/>
  <c r="X63" i="24"/>
  <c r="W63" i="24"/>
  <c r="V63" i="24"/>
  <c r="U63" i="24"/>
  <c r="T63" i="24"/>
  <c r="S63" i="24"/>
  <c r="AG62" i="24"/>
  <c r="AF62" i="24"/>
  <c r="AE62" i="24"/>
  <c r="AD62" i="24"/>
  <c r="AC62" i="24"/>
  <c r="AB62" i="24"/>
  <c r="Z62" i="24"/>
  <c r="Y62" i="24"/>
  <c r="X62" i="24"/>
  <c r="W62" i="24"/>
  <c r="V62" i="24"/>
  <c r="U62" i="24"/>
  <c r="T62" i="24"/>
  <c r="S62" i="24"/>
  <c r="AG61" i="24"/>
  <c r="AF61" i="24"/>
  <c r="AE61" i="24"/>
  <c r="AD61" i="24"/>
  <c r="AC61" i="24"/>
  <c r="AB61" i="24"/>
  <c r="Z61" i="24"/>
  <c r="Y61" i="24"/>
  <c r="X61" i="24"/>
  <c r="W61" i="24"/>
  <c r="V61" i="24"/>
  <c r="U61" i="24"/>
  <c r="T61" i="24"/>
  <c r="S61" i="24"/>
  <c r="Q56" i="24"/>
  <c r="P56" i="24"/>
  <c r="O56" i="24"/>
  <c r="N56" i="24"/>
  <c r="M56" i="24"/>
  <c r="L56" i="24"/>
  <c r="K56" i="24"/>
  <c r="I56" i="24"/>
  <c r="H56" i="24"/>
  <c r="G56" i="24"/>
  <c r="F56" i="24"/>
  <c r="E56" i="24"/>
  <c r="D56" i="24"/>
  <c r="C56" i="24"/>
  <c r="B56" i="24"/>
  <c r="Q55" i="24"/>
  <c r="P55" i="24"/>
  <c r="O55" i="24"/>
  <c r="N55" i="24"/>
  <c r="M55" i="24"/>
  <c r="L55" i="24"/>
  <c r="K55" i="24"/>
  <c r="I55" i="24"/>
  <c r="H55" i="24"/>
  <c r="G55" i="24"/>
  <c r="F55" i="24"/>
  <c r="E55" i="24"/>
  <c r="D55" i="24"/>
  <c r="C55" i="24"/>
  <c r="B55" i="24"/>
  <c r="Q54" i="24"/>
  <c r="P54" i="24"/>
  <c r="O54" i="24"/>
  <c r="N54" i="24"/>
  <c r="M54" i="24"/>
  <c r="L54" i="24"/>
  <c r="K54" i="24"/>
  <c r="I54" i="24"/>
  <c r="H54" i="24"/>
  <c r="G54" i="24"/>
  <c r="F54" i="24"/>
  <c r="E54" i="24"/>
  <c r="D54" i="24"/>
  <c r="C54" i="24"/>
  <c r="B54" i="24"/>
  <c r="Q44" i="24"/>
  <c r="P44" i="24"/>
  <c r="O44" i="24"/>
  <c r="N44" i="24"/>
  <c r="M44" i="24"/>
  <c r="L44" i="24"/>
  <c r="K44" i="24"/>
  <c r="I44" i="24"/>
  <c r="H44" i="24"/>
  <c r="G44" i="24"/>
  <c r="F44" i="24"/>
  <c r="E44" i="24"/>
  <c r="D44" i="24"/>
  <c r="C44" i="24"/>
  <c r="B44" i="24"/>
  <c r="Q51" i="24"/>
  <c r="P51" i="24"/>
  <c r="O51" i="24"/>
  <c r="N51" i="24"/>
  <c r="M51" i="24"/>
  <c r="L51" i="24"/>
  <c r="K51" i="24"/>
  <c r="I51" i="24"/>
  <c r="H51" i="24"/>
  <c r="G51" i="24"/>
  <c r="F51" i="24"/>
  <c r="E51" i="24"/>
  <c r="D51" i="24"/>
  <c r="C51" i="24"/>
  <c r="B51" i="24"/>
  <c r="Q50" i="24"/>
  <c r="P50" i="24"/>
  <c r="O50" i="24"/>
  <c r="N50" i="24"/>
  <c r="M50" i="24"/>
  <c r="L50" i="24"/>
  <c r="K50" i="24"/>
  <c r="I50" i="24"/>
  <c r="H50" i="24"/>
  <c r="G50" i="24"/>
  <c r="F50" i="24"/>
  <c r="E50" i="24"/>
  <c r="D50" i="24"/>
  <c r="C50" i="24"/>
  <c r="B50" i="24"/>
  <c r="Q38" i="24"/>
  <c r="P38" i="24"/>
  <c r="O38" i="24"/>
  <c r="N38" i="24"/>
  <c r="M38" i="24"/>
  <c r="L38" i="24"/>
  <c r="K38" i="24"/>
  <c r="I38" i="24"/>
  <c r="H38" i="24"/>
  <c r="G38" i="24"/>
  <c r="F38" i="24"/>
  <c r="E38" i="24"/>
  <c r="D38" i="24"/>
  <c r="C38" i="24"/>
  <c r="B38" i="24"/>
  <c r="AH42" i="24"/>
  <c r="AG42" i="24"/>
  <c r="AF42" i="24"/>
  <c r="AE42" i="24"/>
  <c r="AD42" i="24"/>
  <c r="AC42" i="24"/>
  <c r="AB42" i="24"/>
  <c r="Z42" i="24"/>
  <c r="Y42" i="24"/>
  <c r="X42" i="24"/>
  <c r="W42" i="24"/>
  <c r="V42" i="24"/>
  <c r="U42" i="24"/>
  <c r="T42" i="24"/>
  <c r="S42" i="24"/>
  <c r="AH41" i="24"/>
  <c r="AG41" i="24"/>
  <c r="AF41" i="24"/>
  <c r="AE41" i="24"/>
  <c r="AD41" i="24"/>
  <c r="AC41" i="24"/>
  <c r="AB41" i="24"/>
  <c r="Z41" i="24"/>
  <c r="Y41" i="24"/>
  <c r="X41" i="24"/>
  <c r="W41" i="24"/>
  <c r="V41" i="24"/>
  <c r="U41" i="24"/>
  <c r="T41" i="24"/>
  <c r="S41" i="24"/>
  <c r="Q43" i="24"/>
  <c r="P43" i="24"/>
  <c r="O43" i="24"/>
  <c r="N43" i="24"/>
  <c r="M43" i="24"/>
  <c r="L43" i="24"/>
  <c r="K43" i="24"/>
  <c r="I43" i="24"/>
  <c r="H43" i="24"/>
  <c r="G43" i="24"/>
  <c r="F43" i="24"/>
  <c r="E43" i="24"/>
  <c r="D43" i="24"/>
  <c r="C43" i="24"/>
  <c r="B43" i="24"/>
  <c r="AH40" i="24"/>
  <c r="AG40" i="24"/>
  <c r="AF40" i="24"/>
  <c r="AE40" i="24"/>
  <c r="AD40" i="24"/>
  <c r="AC40" i="24"/>
  <c r="AB40" i="24"/>
  <c r="Z40" i="24"/>
  <c r="Y40" i="24"/>
  <c r="X40" i="24"/>
  <c r="W40" i="24"/>
  <c r="V40" i="24"/>
  <c r="U40" i="24"/>
  <c r="T40" i="24"/>
  <c r="S40" i="24"/>
  <c r="Q42" i="24"/>
  <c r="P42" i="24"/>
  <c r="O42" i="24"/>
  <c r="N42" i="24"/>
  <c r="M42" i="24"/>
  <c r="L42" i="24"/>
  <c r="I42" i="24"/>
  <c r="H42" i="24"/>
  <c r="G42" i="24"/>
  <c r="F42" i="24"/>
  <c r="E42" i="24"/>
  <c r="D42" i="24"/>
  <c r="C42" i="24"/>
  <c r="B42" i="24"/>
  <c r="AH39" i="24"/>
  <c r="AG39" i="24"/>
  <c r="AF39" i="24"/>
  <c r="AE39" i="24"/>
  <c r="AD39" i="24"/>
  <c r="AC39" i="24"/>
  <c r="AB39" i="24"/>
  <c r="Z39" i="24"/>
  <c r="Y39" i="24"/>
  <c r="X39" i="24"/>
  <c r="W39" i="24"/>
  <c r="V39" i="24"/>
  <c r="U39" i="24"/>
  <c r="T39" i="24"/>
  <c r="S39" i="24"/>
  <c r="Q41" i="24"/>
  <c r="P41" i="24"/>
  <c r="O41" i="24"/>
  <c r="N41" i="24"/>
  <c r="M41" i="24"/>
  <c r="L41" i="24"/>
  <c r="K41" i="24"/>
  <c r="I41" i="24"/>
  <c r="H41" i="24"/>
  <c r="G41" i="24"/>
  <c r="F41" i="24"/>
  <c r="E41" i="24"/>
  <c r="D41" i="24"/>
  <c r="C41" i="24"/>
  <c r="B41" i="24"/>
  <c r="AH38" i="24"/>
  <c r="AG38" i="24"/>
  <c r="AF38" i="24"/>
  <c r="AE38" i="24"/>
  <c r="AD38" i="24"/>
  <c r="AC38" i="24"/>
  <c r="AB38" i="24"/>
  <c r="Z38" i="24"/>
  <c r="Y38" i="24"/>
  <c r="X38" i="24"/>
  <c r="W38" i="24"/>
  <c r="V38" i="24"/>
  <c r="U38" i="24"/>
  <c r="T38" i="24"/>
  <c r="S38" i="24"/>
  <c r="Q32" i="24"/>
  <c r="P32" i="24"/>
  <c r="O32" i="24"/>
  <c r="N32" i="24"/>
  <c r="M32" i="24"/>
  <c r="L32" i="24"/>
  <c r="K32" i="24"/>
  <c r="I32" i="24"/>
  <c r="H32" i="24"/>
  <c r="G32" i="24"/>
  <c r="F32" i="24"/>
  <c r="E32" i="24"/>
  <c r="D32" i="24"/>
  <c r="C32" i="24"/>
  <c r="B32" i="24"/>
  <c r="AH32" i="24"/>
  <c r="AG32" i="24"/>
  <c r="AF32" i="24"/>
  <c r="AE32" i="24"/>
  <c r="AD32" i="24"/>
  <c r="AC32" i="24"/>
  <c r="AB32" i="24"/>
  <c r="Z32" i="24"/>
  <c r="Y32" i="24"/>
  <c r="X32" i="24"/>
  <c r="W32" i="24"/>
  <c r="V32" i="24"/>
  <c r="U32" i="24"/>
  <c r="T32" i="24"/>
  <c r="S32" i="24"/>
  <c r="Q40" i="24"/>
  <c r="P40" i="24"/>
  <c r="O40" i="24"/>
  <c r="N40" i="24"/>
  <c r="M40" i="24"/>
  <c r="L40" i="24"/>
  <c r="K40" i="24"/>
  <c r="I40" i="24"/>
  <c r="H40" i="24"/>
  <c r="G40" i="24"/>
  <c r="F40" i="24"/>
  <c r="E40" i="24"/>
  <c r="D40" i="24"/>
  <c r="C40" i="24"/>
  <c r="B40" i="24"/>
  <c r="AH29" i="24"/>
  <c r="AG29" i="24"/>
  <c r="AF29" i="24"/>
  <c r="AE29" i="24"/>
  <c r="AD29" i="24"/>
  <c r="AC29" i="24"/>
  <c r="AB29" i="24"/>
  <c r="Z29" i="24"/>
  <c r="Y29" i="24"/>
  <c r="X29" i="24"/>
  <c r="W29" i="24"/>
  <c r="V29" i="24"/>
  <c r="U29" i="24"/>
  <c r="T29" i="24"/>
  <c r="S29" i="24"/>
  <c r="Q39" i="24"/>
  <c r="P39" i="24"/>
  <c r="O39" i="24"/>
  <c r="N39" i="24"/>
  <c r="M39" i="24"/>
  <c r="L39" i="24"/>
  <c r="K39" i="24"/>
  <c r="I39" i="24"/>
  <c r="H39" i="24"/>
  <c r="G39" i="24"/>
  <c r="F39" i="24"/>
  <c r="E39" i="24"/>
  <c r="D39" i="24"/>
  <c r="C39" i="24"/>
  <c r="B39" i="24"/>
  <c r="AH33" i="24"/>
  <c r="AG33" i="24"/>
  <c r="AF33" i="24"/>
  <c r="AE33" i="24"/>
  <c r="AD33" i="24"/>
  <c r="AC33" i="24"/>
  <c r="AB33" i="24"/>
  <c r="Z33" i="24"/>
  <c r="Y33" i="24"/>
  <c r="X33" i="24"/>
  <c r="W33" i="24"/>
  <c r="V33" i="24"/>
  <c r="U33" i="24"/>
  <c r="T33" i="24"/>
  <c r="S33" i="24"/>
  <c r="AH31" i="24"/>
  <c r="AG31" i="24"/>
  <c r="AF31" i="24"/>
  <c r="AE31" i="24"/>
  <c r="AD31" i="24"/>
  <c r="AC31" i="24"/>
  <c r="AB31" i="24"/>
  <c r="Z31" i="24"/>
  <c r="Y31" i="24"/>
  <c r="X31" i="24"/>
  <c r="W31" i="24"/>
  <c r="V31" i="24"/>
  <c r="U31" i="24"/>
  <c r="T31" i="24"/>
  <c r="S31" i="24"/>
  <c r="Q31" i="24"/>
  <c r="P31" i="24"/>
  <c r="O31" i="24"/>
  <c r="N31" i="24"/>
  <c r="M31" i="24"/>
  <c r="L31" i="24"/>
  <c r="K31" i="24"/>
  <c r="I31" i="24"/>
  <c r="H31" i="24"/>
  <c r="G31" i="24"/>
  <c r="F31" i="24"/>
  <c r="E31" i="24"/>
  <c r="D31" i="24"/>
  <c r="C31" i="24"/>
  <c r="B31" i="24"/>
  <c r="AH30" i="24"/>
  <c r="AG30" i="24"/>
  <c r="AF30" i="24"/>
  <c r="AE30" i="24"/>
  <c r="AD30" i="24"/>
  <c r="AC30" i="24"/>
  <c r="AB30" i="24"/>
  <c r="Z30" i="24"/>
  <c r="Y30" i="24"/>
  <c r="X30" i="24"/>
  <c r="W30" i="24"/>
  <c r="V30" i="24"/>
  <c r="U30" i="24"/>
  <c r="T30" i="24"/>
  <c r="S30" i="24"/>
  <c r="Q30" i="24"/>
  <c r="P30" i="24"/>
  <c r="O30" i="24"/>
  <c r="N30" i="24"/>
  <c r="M30" i="24"/>
  <c r="L30" i="24"/>
  <c r="K30" i="24"/>
  <c r="I30" i="24"/>
  <c r="H30" i="24"/>
  <c r="G30" i="24"/>
  <c r="F30" i="24"/>
  <c r="E30" i="24"/>
  <c r="D30" i="24"/>
  <c r="C30" i="24"/>
  <c r="B30" i="24"/>
  <c r="AH28" i="24"/>
  <c r="AG28" i="24"/>
  <c r="AF28" i="24"/>
  <c r="AE28" i="24"/>
  <c r="AD28" i="24"/>
  <c r="AC28" i="24"/>
  <c r="AB28" i="24"/>
  <c r="Z28" i="24"/>
  <c r="Y28" i="24"/>
  <c r="X28" i="24"/>
  <c r="W28" i="24"/>
  <c r="V28" i="24"/>
  <c r="U28" i="24"/>
  <c r="T28" i="24"/>
  <c r="S28" i="24"/>
  <c r="Q29" i="24"/>
  <c r="P29" i="24"/>
  <c r="O29" i="24"/>
  <c r="N29" i="24"/>
  <c r="M29" i="24"/>
  <c r="L29" i="24"/>
  <c r="I29" i="24"/>
  <c r="H29" i="24"/>
  <c r="G29" i="24"/>
  <c r="F29" i="24"/>
  <c r="E29" i="24"/>
  <c r="D29" i="24"/>
  <c r="C29" i="24"/>
  <c r="B29" i="24"/>
  <c r="AH21" i="24"/>
  <c r="AG21" i="24"/>
  <c r="AF21" i="24"/>
  <c r="AE21" i="24"/>
  <c r="AD21" i="24"/>
  <c r="AC21" i="24"/>
  <c r="AB21" i="24"/>
  <c r="Z21" i="24"/>
  <c r="Y21" i="24"/>
  <c r="X21" i="24"/>
  <c r="W21" i="24"/>
  <c r="V21" i="24"/>
  <c r="U21" i="24"/>
  <c r="T21" i="24"/>
  <c r="S21" i="24"/>
  <c r="Q28" i="24"/>
  <c r="P28" i="24"/>
  <c r="O28" i="24"/>
  <c r="N28" i="24"/>
  <c r="M28" i="24"/>
  <c r="L28" i="24"/>
  <c r="K28" i="24"/>
  <c r="I28" i="24"/>
  <c r="H28" i="24"/>
  <c r="G28" i="24"/>
  <c r="F28" i="24"/>
  <c r="E28" i="24"/>
  <c r="D28" i="24"/>
  <c r="C28" i="24"/>
  <c r="B28" i="24"/>
  <c r="AH27" i="24"/>
  <c r="AG27" i="24"/>
  <c r="AF27" i="24"/>
  <c r="AE27" i="24"/>
  <c r="AD27" i="24"/>
  <c r="AC27" i="24"/>
  <c r="Z27" i="24"/>
  <c r="Y27" i="24"/>
  <c r="X27" i="24"/>
  <c r="W27" i="24"/>
  <c r="V27" i="24"/>
  <c r="U27" i="24"/>
  <c r="T27" i="24"/>
  <c r="S27" i="24"/>
  <c r="Q27" i="24"/>
  <c r="P27" i="24"/>
  <c r="O27" i="24"/>
  <c r="N27" i="24"/>
  <c r="M27" i="24"/>
  <c r="L27" i="24"/>
  <c r="K27" i="24"/>
  <c r="I27" i="24"/>
  <c r="H27" i="24"/>
  <c r="G27" i="24"/>
  <c r="F27" i="24"/>
  <c r="E27" i="24"/>
  <c r="D27" i="24"/>
  <c r="C27" i="24"/>
  <c r="B27" i="24"/>
  <c r="AH26" i="24"/>
  <c r="AG26" i="24"/>
  <c r="AF26" i="24"/>
  <c r="AE26" i="24"/>
  <c r="AD26" i="24"/>
  <c r="AC26" i="24"/>
  <c r="Z26" i="24"/>
  <c r="Y26" i="24"/>
  <c r="X26" i="24"/>
  <c r="W26" i="24"/>
  <c r="V26" i="24"/>
  <c r="U26" i="24"/>
  <c r="T26" i="24"/>
  <c r="S26" i="24"/>
  <c r="Q26" i="24"/>
  <c r="P26" i="24"/>
  <c r="O26" i="24"/>
  <c r="N26" i="24"/>
  <c r="M26" i="24"/>
  <c r="L26" i="24"/>
  <c r="I26" i="24"/>
  <c r="H26" i="24"/>
  <c r="G26" i="24"/>
  <c r="F26" i="24"/>
  <c r="E26" i="24"/>
  <c r="D26" i="24"/>
  <c r="C26" i="24"/>
  <c r="B26" i="24"/>
  <c r="AH20" i="24"/>
  <c r="AG20" i="24"/>
  <c r="AF20" i="24"/>
  <c r="AE20" i="24"/>
  <c r="AD20" i="24"/>
  <c r="AC20" i="24"/>
  <c r="Z20" i="24"/>
  <c r="Y20" i="24"/>
  <c r="X20" i="24"/>
  <c r="W20" i="24"/>
  <c r="V20" i="24"/>
  <c r="U20" i="24"/>
  <c r="T20" i="24"/>
  <c r="S20" i="24"/>
  <c r="Q20" i="24"/>
  <c r="P20" i="24"/>
  <c r="O20" i="24"/>
  <c r="N20" i="24"/>
  <c r="M20" i="24"/>
  <c r="L20" i="24"/>
  <c r="K20" i="24"/>
  <c r="I20" i="24"/>
  <c r="H20" i="24"/>
  <c r="G20" i="24"/>
  <c r="F20" i="24"/>
  <c r="E20" i="24"/>
  <c r="D20" i="24"/>
  <c r="C20" i="24"/>
  <c r="B20" i="24"/>
  <c r="AH19" i="24"/>
  <c r="AG19" i="24"/>
  <c r="AF19" i="24"/>
  <c r="AE19" i="24"/>
  <c r="AD19" i="24"/>
  <c r="AC19" i="24"/>
  <c r="AB19" i="24"/>
  <c r="Z19" i="24"/>
  <c r="Y19" i="24"/>
  <c r="X19" i="24"/>
  <c r="W19" i="24"/>
  <c r="V19" i="24"/>
  <c r="U19" i="24"/>
  <c r="T19" i="24"/>
  <c r="S19" i="24"/>
  <c r="Q19" i="24"/>
  <c r="P19" i="24"/>
  <c r="O19" i="24"/>
  <c r="N19" i="24"/>
  <c r="M19" i="24"/>
  <c r="L19" i="24"/>
  <c r="K19" i="24"/>
  <c r="I19" i="24"/>
  <c r="H19" i="24"/>
  <c r="G19" i="24"/>
  <c r="F19" i="24"/>
  <c r="E19" i="24"/>
  <c r="D19" i="24"/>
  <c r="C19" i="24"/>
  <c r="B19" i="24"/>
  <c r="Q18" i="24"/>
  <c r="P18" i="24"/>
  <c r="O18" i="24"/>
  <c r="N18" i="24"/>
  <c r="M18" i="24"/>
  <c r="L18" i="24"/>
  <c r="K18" i="24"/>
  <c r="I18" i="24"/>
  <c r="H18" i="24"/>
  <c r="G18" i="24"/>
  <c r="F18" i="24"/>
  <c r="E18" i="24"/>
  <c r="D18" i="24"/>
  <c r="C18" i="24"/>
  <c r="B18" i="24"/>
  <c r="AH17" i="24"/>
  <c r="AG17" i="24"/>
  <c r="AF17" i="24"/>
  <c r="AE17" i="24"/>
  <c r="AD17" i="24"/>
  <c r="AC17" i="24"/>
  <c r="AB17" i="24"/>
  <c r="Z17" i="24"/>
  <c r="Y17" i="24"/>
  <c r="X17" i="24"/>
  <c r="W17" i="24"/>
  <c r="V17" i="24"/>
  <c r="U17" i="24"/>
  <c r="T17" i="24"/>
  <c r="S17" i="24"/>
  <c r="Q17" i="24"/>
  <c r="P17" i="24"/>
  <c r="O17" i="24"/>
  <c r="N17" i="24"/>
  <c r="M17" i="24"/>
  <c r="L17" i="24"/>
  <c r="K17" i="24"/>
  <c r="I17" i="24"/>
  <c r="H17" i="24"/>
  <c r="G17" i="24"/>
  <c r="F17" i="24"/>
  <c r="E17" i="24"/>
  <c r="D17" i="24"/>
  <c r="C17" i="24"/>
  <c r="B17" i="24"/>
  <c r="AH16" i="24"/>
  <c r="AG16" i="24"/>
  <c r="AF16" i="24"/>
  <c r="AE16" i="24"/>
  <c r="AD16" i="24"/>
  <c r="AC16" i="24"/>
  <c r="AB16" i="24"/>
  <c r="Z16" i="24"/>
  <c r="Y16" i="24"/>
  <c r="X16" i="24"/>
  <c r="W16" i="24"/>
  <c r="V16" i="24"/>
  <c r="U16" i="24"/>
  <c r="T16" i="24"/>
  <c r="S16" i="24"/>
  <c r="Q16" i="24"/>
  <c r="P16" i="24"/>
  <c r="O16" i="24"/>
  <c r="N16" i="24"/>
  <c r="M16" i="24"/>
  <c r="L16" i="24"/>
  <c r="K16" i="24"/>
  <c r="I16" i="24"/>
  <c r="H16" i="24"/>
  <c r="G16" i="24"/>
  <c r="F16" i="24"/>
  <c r="E16" i="24"/>
  <c r="D16" i="24"/>
  <c r="C16" i="24"/>
  <c r="B16" i="24"/>
  <c r="AH15" i="24"/>
  <c r="AG15" i="24"/>
  <c r="AF15" i="24"/>
  <c r="AE15" i="24"/>
  <c r="AD15" i="24"/>
  <c r="AC15" i="24"/>
  <c r="AB15" i="24"/>
  <c r="Z15" i="24"/>
  <c r="Y15" i="24"/>
  <c r="X15" i="24"/>
  <c r="W15" i="24"/>
  <c r="V15" i="24"/>
  <c r="U15" i="24"/>
  <c r="T15" i="24"/>
  <c r="S15" i="24"/>
  <c r="Q15" i="24"/>
  <c r="P15" i="24"/>
  <c r="O15" i="24"/>
  <c r="N15" i="24"/>
  <c r="M15" i="24"/>
  <c r="L15" i="24"/>
  <c r="K15" i="24"/>
  <c r="I15" i="24"/>
  <c r="H15" i="24"/>
  <c r="G15" i="24"/>
  <c r="F15" i="24"/>
  <c r="E15" i="24"/>
  <c r="D15" i="24"/>
  <c r="C15" i="24"/>
  <c r="B15" i="24"/>
  <c r="AH14" i="24"/>
  <c r="AG14" i="24"/>
  <c r="AF14" i="24"/>
  <c r="AE14" i="24"/>
  <c r="AD14" i="24"/>
  <c r="AC14" i="24"/>
  <c r="Z14" i="24"/>
  <c r="Y14" i="24"/>
  <c r="X14" i="24"/>
  <c r="W14" i="24"/>
  <c r="V14" i="24"/>
  <c r="U14" i="24"/>
  <c r="T14" i="24"/>
  <c r="S14" i="24"/>
  <c r="Q14" i="24"/>
  <c r="P14" i="24"/>
  <c r="O14" i="24"/>
  <c r="N14" i="24"/>
  <c r="M14" i="24"/>
  <c r="L14" i="24"/>
  <c r="K14" i="24"/>
  <c r="I14" i="24"/>
  <c r="H14" i="24"/>
  <c r="G14" i="24"/>
  <c r="F14" i="24"/>
  <c r="E14" i="24"/>
  <c r="D14" i="24"/>
  <c r="C14" i="24"/>
  <c r="B14" i="24"/>
  <c r="C53" i="11"/>
  <c r="D53" i="11"/>
  <c r="E53" i="11"/>
  <c r="F53" i="11"/>
  <c r="G53" i="11"/>
  <c r="H53" i="11"/>
  <c r="I53" i="11"/>
  <c r="K53" i="11"/>
  <c r="L53" i="11"/>
  <c r="M53" i="11"/>
  <c r="N53" i="11"/>
  <c r="O53" i="11"/>
  <c r="P53" i="11"/>
  <c r="Q53" i="11"/>
  <c r="C54" i="11"/>
  <c r="D54" i="11"/>
  <c r="E54" i="11"/>
  <c r="F54" i="11"/>
  <c r="G54" i="11"/>
  <c r="H54" i="11"/>
  <c r="I54" i="11"/>
  <c r="K54" i="11"/>
  <c r="L54" i="11"/>
  <c r="M54" i="11"/>
  <c r="N54" i="11"/>
  <c r="O54" i="11"/>
  <c r="P54" i="11"/>
  <c r="Q54" i="11"/>
  <c r="B54" i="11"/>
  <c r="B53" i="11"/>
  <c r="AH54" i="11"/>
  <c r="T29" i="11"/>
  <c r="AD32" i="11"/>
  <c r="K24" i="15"/>
  <c r="K14" i="15"/>
  <c r="AB27" i="27" s="1"/>
  <c r="K6" i="15"/>
  <c r="K26" i="26" s="1"/>
  <c r="K5" i="15"/>
  <c r="AB14" i="27" s="1"/>
  <c r="K70" i="15"/>
  <c r="AB69" i="24" s="1"/>
  <c r="G22" i="26" l="1"/>
  <c r="L60" i="29"/>
  <c r="L60" i="30"/>
  <c r="M26" i="32"/>
  <c r="K26" i="32"/>
  <c r="L26" i="32"/>
  <c r="J26" i="32"/>
  <c r="G46" i="28"/>
  <c r="F46" i="28"/>
  <c r="AA52" i="28"/>
  <c r="F22" i="28"/>
  <c r="E7" i="28" a="1"/>
  <c r="E7" i="28" s="1"/>
  <c r="X22" i="28"/>
  <c r="Z34" i="28"/>
  <c r="Y46" i="28"/>
  <c r="E57" i="28"/>
  <c r="W57" i="28"/>
  <c r="G5" i="28" a="1"/>
  <c r="G5" i="28" s="1"/>
  <c r="H22" i="28"/>
  <c r="Z22" i="28"/>
  <c r="I5" i="28" a="1"/>
  <c r="I5" i="28" s="1"/>
  <c r="H34" i="28"/>
  <c r="D57" i="28"/>
  <c r="G7" i="28" a="1"/>
  <c r="G7" i="28" s="1"/>
  <c r="U34" i="28"/>
  <c r="D9" i="28" a="1"/>
  <c r="D9" i="28" s="1"/>
  <c r="U57" i="28"/>
  <c r="I34" i="28"/>
  <c r="Z46" i="28"/>
  <c r="F57" i="28"/>
  <c r="X57" i="28"/>
  <c r="I46" i="28"/>
  <c r="G57" i="28"/>
  <c r="Y57" i="28"/>
  <c r="G4" i="28" a="1"/>
  <c r="G4" i="28" s="1"/>
  <c r="U22" i="28"/>
  <c r="V34" i="28"/>
  <c r="H57" i="28"/>
  <c r="Z57" i="28"/>
  <c r="D5" i="28" a="1"/>
  <c r="D5" i="28" s="1"/>
  <c r="V22" i="28"/>
  <c r="D34" i="28"/>
  <c r="W34" i="28"/>
  <c r="U46" i="28"/>
  <c r="I57" i="28"/>
  <c r="E22" i="28"/>
  <c r="W22" i="28"/>
  <c r="E34" i="28"/>
  <c r="X34" i="28"/>
  <c r="D46" i="28"/>
  <c r="V46" i="28"/>
  <c r="F6" i="28" a="1"/>
  <c r="F6" i="28" s="1"/>
  <c r="Y34" i="28"/>
  <c r="E46" i="28"/>
  <c r="W46" i="28"/>
  <c r="G22" i="28"/>
  <c r="Y22" i="28"/>
  <c r="G34" i="28"/>
  <c r="X46" i="28"/>
  <c r="V57" i="28"/>
  <c r="H6" i="28" a="1"/>
  <c r="H6" i="28" s="1"/>
  <c r="E5" i="28" a="1"/>
  <c r="E5" i="28" s="1"/>
  <c r="H9" i="28" a="1"/>
  <c r="H9" i="28" s="1"/>
  <c r="I7" i="28" a="1"/>
  <c r="I7" i="28" s="1"/>
  <c r="F9" i="28" a="1"/>
  <c r="F9" i="28" s="1"/>
  <c r="AA52" i="26"/>
  <c r="J53" i="27"/>
  <c r="J53" i="24"/>
  <c r="F5" i="28" a="1"/>
  <c r="F5" i="28" s="1"/>
  <c r="AB69" i="28"/>
  <c r="AB14" i="28"/>
  <c r="K26" i="28"/>
  <c r="AB26" i="28"/>
  <c r="AB27" i="28"/>
  <c r="H5" i="28" a="1"/>
  <c r="H5" i="28" s="1"/>
  <c r="E8" i="28" a="1"/>
  <c r="E8" i="28" s="1"/>
  <c r="D4" i="28" a="1"/>
  <c r="D4" i="28" s="1"/>
  <c r="H4" i="28" a="1"/>
  <c r="H4" i="28" s="1"/>
  <c r="E6" i="28" a="1"/>
  <c r="E6" i="28" s="1"/>
  <c r="I6" i="28" a="1"/>
  <c r="I6" i="28" s="1"/>
  <c r="F8" i="28" a="1"/>
  <c r="F8" i="28" s="1"/>
  <c r="F7" i="28" a="1"/>
  <c r="F7" i="28" s="1"/>
  <c r="G9" i="28" a="1"/>
  <c r="G9" i="28" s="1"/>
  <c r="D22" i="28"/>
  <c r="F34" i="28"/>
  <c r="H46" i="28"/>
  <c r="E4" i="28" a="1"/>
  <c r="E4" i="28" s="1"/>
  <c r="I4" i="28" a="1"/>
  <c r="I4" i="28" s="1"/>
  <c r="G8" i="28" a="1"/>
  <c r="G8" i="28" s="1"/>
  <c r="F4" i="28" a="1"/>
  <c r="F4" i="28" s="1"/>
  <c r="G6" i="28" a="1"/>
  <c r="G6" i="28" s="1"/>
  <c r="D8" i="28" a="1"/>
  <c r="D8" i="28" s="1"/>
  <c r="H8" i="28" a="1"/>
  <c r="H8" i="28" s="1"/>
  <c r="D7" i="28" a="1"/>
  <c r="D7" i="28" s="1"/>
  <c r="H7" i="28" a="1"/>
  <c r="H7" i="28" s="1"/>
  <c r="E9" i="28" a="1"/>
  <c r="E9" i="28" s="1"/>
  <c r="I9" i="28" a="1"/>
  <c r="I9" i="28" s="1"/>
  <c r="D6" i="28" a="1"/>
  <c r="D6" i="28" s="1"/>
  <c r="I8" i="28" a="1"/>
  <c r="I8" i="28" s="1"/>
  <c r="I22" i="28"/>
  <c r="AB26" i="24"/>
  <c r="K26" i="24"/>
  <c r="F57" i="27"/>
  <c r="H46" i="24"/>
  <c r="V57" i="26"/>
  <c r="U46" i="26"/>
  <c r="U22" i="27"/>
  <c r="V34" i="26"/>
  <c r="V46" i="26"/>
  <c r="F57" i="26"/>
  <c r="Z34" i="24"/>
  <c r="G57" i="24"/>
  <c r="I34" i="24"/>
  <c r="X46" i="26"/>
  <c r="I34" i="26"/>
  <c r="E34" i="27"/>
  <c r="U46" i="27"/>
  <c r="G57" i="27"/>
  <c r="W57" i="26"/>
  <c r="E6" i="27" a="1"/>
  <c r="E6" i="27" s="1"/>
  <c r="V46" i="27"/>
  <c r="F57" i="24"/>
  <c r="E34" i="26"/>
  <c r="X57" i="26"/>
  <c r="X46" i="27"/>
  <c r="W46" i="27"/>
  <c r="G46" i="26"/>
  <c r="D22" i="24"/>
  <c r="D34" i="24"/>
  <c r="U34" i="27"/>
  <c r="I34" i="27"/>
  <c r="D57" i="27"/>
  <c r="G22" i="27"/>
  <c r="D46" i="24"/>
  <c r="Z46" i="24"/>
  <c r="I57" i="24"/>
  <c r="I46" i="24"/>
  <c r="I22" i="26"/>
  <c r="Z57" i="26"/>
  <c r="W34" i="27"/>
  <c r="H34" i="27"/>
  <c r="E57" i="27"/>
  <c r="X34" i="26"/>
  <c r="Y34" i="27"/>
  <c r="G22" i="24"/>
  <c r="Y22" i="24"/>
  <c r="U34" i="24"/>
  <c r="D57" i="24"/>
  <c r="D22" i="26"/>
  <c r="H34" i="26"/>
  <c r="Y34" i="26"/>
  <c r="Z34" i="27"/>
  <c r="Y46" i="27"/>
  <c r="F34" i="27"/>
  <c r="AB14" i="26"/>
  <c r="U22" i="26"/>
  <c r="H22" i="24"/>
  <c r="E34" i="24"/>
  <c r="V34" i="24"/>
  <c r="E57" i="24"/>
  <c r="V22" i="26"/>
  <c r="Z34" i="26"/>
  <c r="E57" i="26"/>
  <c r="F22" i="27"/>
  <c r="W22" i="27"/>
  <c r="Z46" i="27"/>
  <c r="F22" i="26"/>
  <c r="D46" i="26"/>
  <c r="U57" i="26"/>
  <c r="K26" i="27"/>
  <c r="AB26" i="27"/>
  <c r="H57" i="27"/>
  <c r="X46" i="24"/>
  <c r="G46" i="24"/>
  <c r="I22" i="24"/>
  <c r="F34" i="24"/>
  <c r="X34" i="24"/>
  <c r="I57" i="27"/>
  <c r="E46" i="24"/>
  <c r="F46" i="24"/>
  <c r="W34" i="24"/>
  <c r="U46" i="24"/>
  <c r="AB14" i="24"/>
  <c r="Y34" i="24"/>
  <c r="W46" i="24"/>
  <c r="H57" i="24"/>
  <c r="H22" i="26"/>
  <c r="U34" i="26"/>
  <c r="I22" i="27"/>
  <c r="V34" i="27"/>
  <c r="H46" i="27"/>
  <c r="W34" i="26"/>
  <c r="F34" i="26"/>
  <c r="Y46" i="26"/>
  <c r="H46" i="26"/>
  <c r="X34" i="27"/>
  <c r="F7" i="26" a="1"/>
  <c r="F7" i="26" s="1"/>
  <c r="W22" i="26"/>
  <c r="X22" i="27"/>
  <c r="G7" i="27" a="1"/>
  <c r="G7" i="27" s="1"/>
  <c r="Y22" i="27"/>
  <c r="D4" i="27" a="1"/>
  <c r="D4" i="27" s="1"/>
  <c r="Z22" i="24"/>
  <c r="U22" i="24"/>
  <c r="Y22" i="26"/>
  <c r="V22" i="27"/>
  <c r="X22" i="26"/>
  <c r="H8" i="27" a="1"/>
  <c r="H8" i="27" s="1"/>
  <c r="G9" i="27" a="1"/>
  <c r="G9" i="27" s="1"/>
  <c r="Z22" i="27"/>
  <c r="I9" i="27" a="1"/>
  <c r="I9" i="27" s="1"/>
  <c r="E7" i="27" a="1"/>
  <c r="E7" i="27" s="1"/>
  <c r="Z22" i="26"/>
  <c r="E5" i="26" a="1"/>
  <c r="E5" i="26" s="1"/>
  <c r="H10" i="32" s="1"/>
  <c r="W22" i="24"/>
  <c r="F9" i="24" a="1"/>
  <c r="F9" i="24" s="1"/>
  <c r="G6" i="26" a="1"/>
  <c r="G6" i="26" s="1"/>
  <c r="H57" i="26"/>
  <c r="Y57" i="26"/>
  <c r="E4" i="24" a="1"/>
  <c r="E4" i="24" s="1"/>
  <c r="V46" i="24"/>
  <c r="F4" i="26" a="1"/>
  <c r="F4" i="26" s="1"/>
  <c r="Y46" i="24"/>
  <c r="E4" i="27" a="1"/>
  <c r="E4" i="27" s="1"/>
  <c r="I4" i="24" a="1"/>
  <c r="I4" i="24" s="1"/>
  <c r="F5" i="27" a="1"/>
  <c r="F5" i="27" s="1"/>
  <c r="E5" i="27" a="1"/>
  <c r="E5" i="27" s="1"/>
  <c r="F7" i="27" a="1"/>
  <c r="F7" i="27" s="1"/>
  <c r="I8" i="24" a="1"/>
  <c r="I8" i="24" s="1"/>
  <c r="D4" i="26" a="1"/>
  <c r="D4" i="26" s="1"/>
  <c r="G9" i="32" s="1"/>
  <c r="D9" i="26" a="1"/>
  <c r="D9" i="26" s="1"/>
  <c r="G14" i="32" s="1"/>
  <c r="E9" i="27" a="1"/>
  <c r="E9" i="27" s="1"/>
  <c r="I46" i="27"/>
  <c r="F46" i="27"/>
  <c r="G46" i="27"/>
  <c r="D46" i="27"/>
  <c r="E46" i="27"/>
  <c r="G8" i="27" a="1"/>
  <c r="G8" i="27" s="1"/>
  <c r="D9" i="24" a="1"/>
  <c r="D9" i="24" s="1"/>
  <c r="G7" i="24" a="1"/>
  <c r="G7" i="24" s="1"/>
  <c r="G8" i="24" a="1"/>
  <c r="G8" i="24" s="1"/>
  <c r="E7" i="24" a="1"/>
  <c r="E7" i="24" s="1"/>
  <c r="F7" i="24" a="1"/>
  <c r="F7" i="24" s="1"/>
  <c r="G5" i="24" a="1"/>
  <c r="G5" i="24" s="1"/>
  <c r="E6" i="24" a="1"/>
  <c r="E6" i="24" s="1"/>
  <c r="F6" i="24" a="1"/>
  <c r="F6" i="24" s="1"/>
  <c r="D6" i="27" a="1"/>
  <c r="D6" i="27" s="1"/>
  <c r="H6" i="24" a="1"/>
  <c r="H6" i="24" s="1"/>
  <c r="H8" i="24" a="1"/>
  <c r="H8" i="24" s="1"/>
  <c r="G9" i="26" a="1"/>
  <c r="G9" i="26" s="1"/>
  <c r="I5" i="26" a="1"/>
  <c r="I5" i="26" s="1"/>
  <c r="D7" i="27" a="1"/>
  <c r="D7" i="27" s="1"/>
  <c r="F8" i="27" a="1"/>
  <c r="F8" i="27" s="1"/>
  <c r="D4" i="24" a="1"/>
  <c r="D4" i="24" s="1"/>
  <c r="H9" i="24" a="1"/>
  <c r="H9" i="24" s="1"/>
  <c r="F8" i="24" a="1"/>
  <c r="F8" i="24" s="1"/>
  <c r="H5" i="24" a="1"/>
  <c r="H5" i="24" s="1"/>
  <c r="G4" i="24" a="1"/>
  <c r="G4" i="24" s="1"/>
  <c r="D8" i="26" a="1"/>
  <c r="D8" i="26" s="1"/>
  <c r="G12" i="32" s="1"/>
  <c r="AB69" i="26"/>
  <c r="D22" i="27"/>
  <c r="D8" i="27" a="1"/>
  <c r="D8" i="27" s="1"/>
  <c r="F9" i="27" a="1"/>
  <c r="F9" i="27" s="1"/>
  <c r="E8" i="27" a="1"/>
  <c r="E8" i="27" s="1"/>
  <c r="I4" i="27" a="1"/>
  <c r="I4" i="27" s="1"/>
  <c r="D5" i="24" a="1"/>
  <c r="D5" i="24" s="1"/>
  <c r="G9" i="24" a="1"/>
  <c r="G9" i="24" s="1"/>
  <c r="E8" i="24" a="1"/>
  <c r="E8" i="24" s="1"/>
  <c r="I6" i="24" a="1"/>
  <c r="I6" i="24" s="1"/>
  <c r="F4" i="24" a="1"/>
  <c r="F4" i="24" s="1"/>
  <c r="G4" i="26" a="1"/>
  <c r="G4" i="26" s="1"/>
  <c r="AB69" i="27"/>
  <c r="D9" i="27" a="1"/>
  <c r="D9" i="27" s="1"/>
  <c r="I6" i="27" a="1"/>
  <c r="I6" i="27" s="1"/>
  <c r="I5" i="27" a="1"/>
  <c r="I5" i="27" s="1"/>
  <c r="H22" i="27"/>
  <c r="H5" i="27" a="1"/>
  <c r="H5" i="27" s="1"/>
  <c r="AB27" i="24"/>
  <c r="D7" i="24" a="1"/>
  <c r="D7" i="24" s="1"/>
  <c r="E9" i="24" a="1"/>
  <c r="E9" i="24" s="1"/>
  <c r="I7" i="24" a="1"/>
  <c r="I7" i="24" s="1"/>
  <c r="G6" i="24" a="1"/>
  <c r="G6" i="24" s="1"/>
  <c r="F5" i="24" a="1"/>
  <c r="F5" i="24" s="1"/>
  <c r="E6" i="26" a="1"/>
  <c r="E6" i="26" s="1"/>
  <c r="H13" i="32" s="1"/>
  <c r="I8" i="27" a="1"/>
  <c r="I8" i="27" s="1"/>
  <c r="I7" i="27" a="1"/>
  <c r="I7" i="27" s="1"/>
  <c r="H6" i="27" a="1"/>
  <c r="H6" i="27" s="1"/>
  <c r="G5" i="27" a="1"/>
  <c r="G5" i="27" s="1"/>
  <c r="G4" i="27" a="1"/>
  <c r="G4" i="27" s="1"/>
  <c r="I9" i="24" a="1"/>
  <c r="I9" i="24" s="1"/>
  <c r="I5" i="24" a="1"/>
  <c r="I5" i="24" s="1"/>
  <c r="D6" i="24" a="1"/>
  <c r="D6" i="24" s="1"/>
  <c r="H4" i="27" a="1"/>
  <c r="H4" i="27" s="1"/>
  <c r="V22" i="24"/>
  <c r="D8" i="24" a="1"/>
  <c r="D8" i="24" s="1"/>
  <c r="H7" i="24" a="1"/>
  <c r="H7" i="24" s="1"/>
  <c r="E5" i="24" a="1"/>
  <c r="E5" i="24" s="1"/>
  <c r="D5" i="27" a="1"/>
  <c r="D5" i="27" s="1"/>
  <c r="H7" i="27" a="1"/>
  <c r="H7" i="27" s="1"/>
  <c r="G6" i="27" a="1"/>
  <c r="G6" i="27" s="1"/>
  <c r="F4" i="27" a="1"/>
  <c r="F4" i="27" s="1"/>
  <c r="H4" i="24" a="1"/>
  <c r="H4" i="24" s="1"/>
  <c r="AB27" i="26"/>
  <c r="H9" i="27" a="1"/>
  <c r="H9" i="27" s="1"/>
  <c r="F6" i="27" a="1"/>
  <c r="F6" i="27" s="1"/>
  <c r="E22" i="27"/>
  <c r="G34" i="27"/>
  <c r="D34" i="27"/>
  <c r="I57" i="26"/>
  <c r="G57" i="26"/>
  <c r="D57" i="26"/>
  <c r="W46" i="26"/>
  <c r="H4" i="26" a="1"/>
  <c r="H4" i="26" s="1"/>
  <c r="Z46" i="26"/>
  <c r="H8" i="26" a="1"/>
  <c r="H8" i="26" s="1"/>
  <c r="E46" i="26"/>
  <c r="H5" i="26" a="1"/>
  <c r="H5" i="26" s="1"/>
  <c r="F8" i="26" a="1"/>
  <c r="F8" i="26" s="1"/>
  <c r="H6" i="26" a="1"/>
  <c r="H6" i="26" s="1"/>
  <c r="I6" i="26" a="1"/>
  <c r="I6" i="26" s="1"/>
  <c r="I7" i="26" a="1"/>
  <c r="I7" i="26" s="1"/>
  <c r="E4" i="26" a="1"/>
  <c r="E4" i="26" s="1"/>
  <c r="H9" i="32" s="1"/>
  <c r="I4" i="26" a="1"/>
  <c r="I4" i="26" s="1"/>
  <c r="F6" i="26" a="1"/>
  <c r="F6" i="26" s="1"/>
  <c r="G8" i="26" a="1"/>
  <c r="G8" i="26" s="1"/>
  <c r="E22" i="26"/>
  <c r="G34" i="26"/>
  <c r="I46" i="26"/>
  <c r="F5" i="26" a="1"/>
  <c r="F5" i="26" s="1"/>
  <c r="G7" i="26" a="1"/>
  <c r="G7" i="26" s="1"/>
  <c r="H9" i="26" a="1"/>
  <c r="H9" i="26" s="1"/>
  <c r="G5" i="26" a="1"/>
  <c r="G5" i="26" s="1"/>
  <c r="D7" i="26" a="1"/>
  <c r="D7" i="26" s="1"/>
  <c r="G11" i="32" s="1"/>
  <c r="H7" i="26" a="1"/>
  <c r="H7" i="26" s="1"/>
  <c r="E9" i="26" a="1"/>
  <c r="E9" i="26" s="1"/>
  <c r="H14" i="32" s="1"/>
  <c r="I9" i="26" a="1"/>
  <c r="I9" i="26" s="1"/>
  <c r="D6" i="26" a="1"/>
  <c r="D6" i="26" s="1"/>
  <c r="G13" i="32" s="1"/>
  <c r="E8" i="26" a="1"/>
  <c r="E8" i="26" s="1"/>
  <c r="H12" i="32" s="1"/>
  <c r="I8" i="26" a="1"/>
  <c r="I8" i="26" s="1"/>
  <c r="D5" i="26" a="1"/>
  <c r="D5" i="26" s="1"/>
  <c r="G10" i="32" s="1"/>
  <c r="E7" i="26" a="1"/>
  <c r="E7" i="26" s="1"/>
  <c r="H11" i="32" s="1"/>
  <c r="F9" i="26" a="1"/>
  <c r="F9" i="26" s="1"/>
  <c r="D34" i="26"/>
  <c r="F46" i="26"/>
  <c r="X22" i="24"/>
  <c r="E22" i="24"/>
  <c r="G34" i="24"/>
  <c r="F22" i="24"/>
  <c r="H34" i="24"/>
  <c r="K30" i="15"/>
  <c r="AB20" i="28" s="1"/>
  <c r="K35" i="15"/>
  <c r="K29" i="28" s="1"/>
  <c r="K46" i="15"/>
  <c r="K42" i="28" s="1"/>
  <c r="K47" i="15"/>
  <c r="P11" i="32" l="1"/>
  <c r="P12" i="32"/>
  <c r="P10" i="32"/>
  <c r="P14" i="32"/>
  <c r="P9" i="32"/>
  <c r="P13" i="32"/>
  <c r="E10" i="28"/>
  <c r="I10" i="28"/>
  <c r="G10" i="28"/>
  <c r="F10" i="28"/>
  <c r="H10" i="28"/>
  <c r="D10" i="28"/>
  <c r="M5" i="28" s="1"/>
  <c r="F10" i="27"/>
  <c r="H10" i="26"/>
  <c r="L4" i="32" s="1"/>
  <c r="H10" i="27"/>
  <c r="F10" i="26"/>
  <c r="G10" i="27"/>
  <c r="AB20" i="24"/>
  <c r="AB20" i="26"/>
  <c r="AB20" i="27"/>
  <c r="I10" i="27"/>
  <c r="K29" i="24"/>
  <c r="K29" i="26"/>
  <c r="K29" i="27"/>
  <c r="E10" i="24"/>
  <c r="AB39" i="26"/>
  <c r="AB32" i="27"/>
  <c r="D10" i="26"/>
  <c r="M9" i="26" s="1"/>
  <c r="E10" i="26"/>
  <c r="K42" i="24"/>
  <c r="K42" i="27"/>
  <c r="K42" i="26"/>
  <c r="D10" i="27"/>
  <c r="M8" i="27" s="1"/>
  <c r="E10" i="27"/>
  <c r="G10" i="26"/>
  <c r="K4" i="32" s="1"/>
  <c r="I10" i="26"/>
  <c r="M4" i="32" s="1"/>
  <c r="I10" i="24"/>
  <c r="H10" i="24"/>
  <c r="G10" i="24"/>
  <c r="D10" i="24"/>
  <c r="M7" i="24" s="1"/>
  <c r="F10" i="24"/>
  <c r="D19" i="11"/>
  <c r="E19" i="11"/>
  <c r="F19" i="11"/>
  <c r="G19" i="11"/>
  <c r="H19" i="11"/>
  <c r="I19" i="11"/>
  <c r="K19" i="11"/>
  <c r="L19" i="11"/>
  <c r="M19" i="11"/>
  <c r="N19" i="11"/>
  <c r="O19" i="11"/>
  <c r="P19" i="11"/>
  <c r="Q19" i="11"/>
  <c r="J6" i="15"/>
  <c r="J26" i="28" s="1"/>
  <c r="J70" i="15"/>
  <c r="J71" i="15"/>
  <c r="J72" i="15"/>
  <c r="J73" i="15"/>
  <c r="J74" i="15"/>
  <c r="AA14" i="28"/>
  <c r="J9" i="15"/>
  <c r="J7" i="15"/>
  <c r="J10" i="15"/>
  <c r="J11" i="15"/>
  <c r="J14" i="15"/>
  <c r="AA27" i="28" s="1"/>
  <c r="J12" i="15"/>
  <c r="J13" i="15"/>
  <c r="J27" i="28" s="1"/>
  <c r="J15" i="15"/>
  <c r="J50" i="28" s="1"/>
  <c r="J19" i="15"/>
  <c r="J20" i="15"/>
  <c r="J21" i="15"/>
  <c r="J22" i="15"/>
  <c r="J23" i="15"/>
  <c r="J18" i="28" s="1"/>
  <c r="J24" i="15"/>
  <c r="J25" i="15"/>
  <c r="J19" i="28" s="1"/>
  <c r="J26" i="15"/>
  <c r="J20" i="28" s="1"/>
  <c r="J29" i="15"/>
  <c r="AA19" i="28" s="1"/>
  <c r="J34" i="15"/>
  <c r="J28" i="28" s="1"/>
  <c r="J35" i="15"/>
  <c r="J29" i="28" s="1"/>
  <c r="J30" i="15"/>
  <c r="AA20" i="28" s="1"/>
  <c r="J31" i="15"/>
  <c r="J30" i="28" s="1"/>
  <c r="J32" i="15"/>
  <c r="J31" i="28" s="1"/>
  <c r="J33" i="15"/>
  <c r="AA28" i="28" s="1"/>
  <c r="J48" i="15"/>
  <c r="AA61" i="28" s="1"/>
  <c r="J36" i="15"/>
  <c r="AA29" i="28" s="1"/>
  <c r="J37" i="15"/>
  <c r="J38" i="28" s="1"/>
  <c r="J38" i="15"/>
  <c r="J39" i="15"/>
  <c r="J39" i="28" s="1"/>
  <c r="J40" i="15"/>
  <c r="AA38" i="28" s="1"/>
  <c r="J41" i="15"/>
  <c r="AA30" i="28" s="1"/>
  <c r="J42" i="15"/>
  <c r="AA31" i="28" s="1"/>
  <c r="J43" i="15"/>
  <c r="J40" i="28" s="1"/>
  <c r="J44" i="15"/>
  <c r="J41" i="28" s="1"/>
  <c r="J45" i="15"/>
  <c r="AA39" i="28" s="1"/>
  <c r="J46" i="15"/>
  <c r="J42" i="28" s="1"/>
  <c r="J47" i="15"/>
  <c r="AA40" i="28"/>
  <c r="J67" i="15"/>
  <c r="AA62" i="28" s="1"/>
  <c r="J51" i="15"/>
  <c r="AA41" i="28" s="1"/>
  <c r="J52" i="15"/>
  <c r="J53" i="15"/>
  <c r="AA63" i="28" s="1"/>
  <c r="J54" i="15"/>
  <c r="J55" i="15"/>
  <c r="J56" i="15"/>
  <c r="J43" i="28" s="1"/>
  <c r="J57" i="15"/>
  <c r="AA42" i="28" s="1"/>
  <c r="J58" i="15"/>
  <c r="J51" i="28" s="1"/>
  <c r="J59" i="15"/>
  <c r="J52" i="28" s="1"/>
  <c r="J60" i="15"/>
  <c r="AA65" i="28" s="1"/>
  <c r="J61" i="15"/>
  <c r="J62" i="15"/>
  <c r="AA67" i="28" s="1"/>
  <c r="J27" i="15"/>
  <c r="J63" i="15"/>
  <c r="AA43" i="28" s="1"/>
  <c r="J64" i="15"/>
  <c r="AA44" i="28" s="1"/>
  <c r="J65" i="15"/>
  <c r="J66" i="15"/>
  <c r="AA68" i="28" s="1"/>
  <c r="J68" i="15"/>
  <c r="J55" i="28" s="1"/>
  <c r="J69" i="15"/>
  <c r="AA55" i="28" s="1"/>
  <c r="J28" i="15"/>
  <c r="AA54" i="28" s="1"/>
  <c r="J8" i="15"/>
  <c r="J15" i="28" s="1"/>
  <c r="T41" i="11"/>
  <c r="U41" i="11"/>
  <c r="V41" i="11"/>
  <c r="W41" i="11"/>
  <c r="X41" i="11"/>
  <c r="Y41" i="11"/>
  <c r="Z41" i="11"/>
  <c r="AB41" i="11"/>
  <c r="AC41" i="11"/>
  <c r="AD41" i="11"/>
  <c r="AE41" i="11"/>
  <c r="AF41" i="11"/>
  <c r="AG41" i="11"/>
  <c r="AH41" i="11"/>
  <c r="S41" i="11"/>
  <c r="T32" i="11"/>
  <c r="U32" i="11"/>
  <c r="V32" i="11"/>
  <c r="W32" i="11"/>
  <c r="X32" i="11"/>
  <c r="Y32" i="11"/>
  <c r="Z32" i="11"/>
  <c r="AB32" i="11"/>
  <c r="AC32" i="11"/>
  <c r="AE32" i="11"/>
  <c r="AF32" i="11"/>
  <c r="AG32" i="11"/>
  <c r="AH32" i="11"/>
  <c r="S32" i="11"/>
  <c r="C55" i="11"/>
  <c r="D55" i="11"/>
  <c r="E55" i="11"/>
  <c r="F55" i="11"/>
  <c r="G55" i="11"/>
  <c r="H55" i="11"/>
  <c r="I55" i="11"/>
  <c r="K55" i="11"/>
  <c r="L55" i="11"/>
  <c r="M55" i="11"/>
  <c r="N55" i="11"/>
  <c r="O55" i="11"/>
  <c r="P55" i="11"/>
  <c r="Q55" i="11"/>
  <c r="B55" i="11"/>
  <c r="T40" i="11"/>
  <c r="U40" i="11"/>
  <c r="V40" i="11"/>
  <c r="W40" i="11"/>
  <c r="X40" i="11"/>
  <c r="Y40" i="11"/>
  <c r="Z40" i="11"/>
  <c r="AB40" i="11"/>
  <c r="AC40" i="11"/>
  <c r="AD40" i="11"/>
  <c r="AE40" i="11"/>
  <c r="AF40" i="11"/>
  <c r="AG40" i="11"/>
  <c r="AH40" i="11"/>
  <c r="S40" i="11"/>
  <c r="T20" i="11"/>
  <c r="U20" i="11"/>
  <c r="V20" i="11"/>
  <c r="W20" i="11"/>
  <c r="X20" i="11"/>
  <c r="Y20" i="11"/>
  <c r="Z20" i="11"/>
  <c r="AB20" i="11"/>
  <c r="AC20" i="11"/>
  <c r="AD20" i="11"/>
  <c r="AE20" i="11"/>
  <c r="AF20" i="11"/>
  <c r="AG20" i="11"/>
  <c r="AH20" i="11"/>
  <c r="S20" i="11"/>
  <c r="C20" i="11"/>
  <c r="D20" i="11"/>
  <c r="E20" i="11"/>
  <c r="F20" i="11"/>
  <c r="G20" i="11"/>
  <c r="H20" i="11"/>
  <c r="I20" i="11"/>
  <c r="K20" i="11"/>
  <c r="L20" i="11"/>
  <c r="M20" i="11"/>
  <c r="N20" i="11"/>
  <c r="O20" i="11"/>
  <c r="P20" i="11"/>
  <c r="Q20" i="11"/>
  <c r="B20" i="11"/>
  <c r="AH53" i="11"/>
  <c r="U61" i="11"/>
  <c r="V61" i="11"/>
  <c r="W61" i="11"/>
  <c r="X61" i="11"/>
  <c r="Y61" i="11"/>
  <c r="Z61" i="11"/>
  <c r="AB61" i="11"/>
  <c r="AC61" i="11"/>
  <c r="AD61" i="11"/>
  <c r="AE61" i="11"/>
  <c r="AF61" i="11"/>
  <c r="AG61" i="11"/>
  <c r="U62" i="11"/>
  <c r="V62" i="11"/>
  <c r="W62" i="11"/>
  <c r="X62" i="11"/>
  <c r="Y62" i="11"/>
  <c r="Z62" i="11"/>
  <c r="AB62" i="11"/>
  <c r="AC62" i="11"/>
  <c r="AD62" i="11"/>
  <c r="AE62" i="11"/>
  <c r="AF62" i="11"/>
  <c r="AG62" i="11"/>
  <c r="U63" i="11"/>
  <c r="V63" i="11"/>
  <c r="W63" i="11"/>
  <c r="X63" i="11"/>
  <c r="Y63" i="11"/>
  <c r="Z63" i="11"/>
  <c r="AB63" i="11"/>
  <c r="AC63" i="11"/>
  <c r="AD63" i="11"/>
  <c r="AE63" i="11"/>
  <c r="AF63" i="11"/>
  <c r="AG63" i="11"/>
  <c r="U64" i="11"/>
  <c r="V64" i="11"/>
  <c r="W64" i="11"/>
  <c r="X64" i="11"/>
  <c r="Y64" i="11"/>
  <c r="Z64" i="11"/>
  <c r="AB64" i="11"/>
  <c r="AC64" i="11"/>
  <c r="AD64" i="11"/>
  <c r="AE64" i="11"/>
  <c r="AF64" i="11"/>
  <c r="AG64" i="11"/>
  <c r="U65" i="11"/>
  <c r="V65" i="11"/>
  <c r="W65" i="11"/>
  <c r="X65" i="11"/>
  <c r="Y65" i="11"/>
  <c r="Z65" i="11"/>
  <c r="AB65" i="11"/>
  <c r="AC65" i="11"/>
  <c r="AD65" i="11"/>
  <c r="AE65" i="11"/>
  <c r="AF65" i="11"/>
  <c r="AG65" i="11"/>
  <c r="U67" i="11"/>
  <c r="V67" i="11"/>
  <c r="W67" i="11"/>
  <c r="X67" i="11"/>
  <c r="Y67" i="11"/>
  <c r="Z67" i="11"/>
  <c r="AB67" i="11"/>
  <c r="AC67" i="11"/>
  <c r="AD67" i="11"/>
  <c r="AE67" i="11"/>
  <c r="AF67" i="11"/>
  <c r="AG67" i="11"/>
  <c r="U53" i="11"/>
  <c r="V53" i="11"/>
  <c r="W53" i="11"/>
  <c r="X53" i="11"/>
  <c r="Y53" i="11"/>
  <c r="Z53" i="11"/>
  <c r="AB53" i="11"/>
  <c r="AC53" i="11"/>
  <c r="AD53" i="11"/>
  <c r="AE53" i="11"/>
  <c r="AF53" i="11"/>
  <c r="AG53" i="11"/>
  <c r="U68" i="11"/>
  <c r="V68" i="11"/>
  <c r="W68" i="11"/>
  <c r="X68" i="11"/>
  <c r="Y68" i="11"/>
  <c r="Z68" i="11"/>
  <c r="AB68" i="11"/>
  <c r="AC68" i="11"/>
  <c r="AD68" i="11"/>
  <c r="AE68" i="11"/>
  <c r="AF68" i="11"/>
  <c r="AG68" i="11"/>
  <c r="U54" i="11"/>
  <c r="V54" i="11"/>
  <c r="W54" i="11"/>
  <c r="X54" i="11"/>
  <c r="Y54" i="11"/>
  <c r="Z54" i="11"/>
  <c r="AB54" i="11"/>
  <c r="AC54" i="11"/>
  <c r="AD54" i="11"/>
  <c r="AE54" i="11"/>
  <c r="AF54" i="11"/>
  <c r="AG54" i="11"/>
  <c r="U69" i="11"/>
  <c r="V69" i="11"/>
  <c r="W69" i="11"/>
  <c r="X69" i="11"/>
  <c r="Y69" i="11"/>
  <c r="Z69" i="11"/>
  <c r="AB69" i="11"/>
  <c r="AC69" i="11"/>
  <c r="AD69" i="11"/>
  <c r="AE69" i="11"/>
  <c r="AF69" i="11"/>
  <c r="AG69" i="11"/>
  <c r="T63" i="11"/>
  <c r="S63" i="11"/>
  <c r="T61" i="11"/>
  <c r="T62" i="11"/>
  <c r="T64" i="11"/>
  <c r="T65" i="11"/>
  <c r="T67" i="11"/>
  <c r="T53" i="11"/>
  <c r="T68" i="11"/>
  <c r="T54" i="11"/>
  <c r="T69" i="11"/>
  <c r="S69" i="11"/>
  <c r="S54" i="11"/>
  <c r="S68" i="11"/>
  <c r="S53" i="11"/>
  <c r="S67" i="11"/>
  <c r="S65" i="11"/>
  <c r="S64" i="11"/>
  <c r="S62" i="11"/>
  <c r="S61" i="11"/>
  <c r="E26" i="11"/>
  <c r="F26" i="11"/>
  <c r="G26" i="11"/>
  <c r="H26" i="11"/>
  <c r="I26" i="11"/>
  <c r="K26" i="11"/>
  <c r="L26" i="11"/>
  <c r="M26" i="11"/>
  <c r="N26" i="11"/>
  <c r="O26" i="11"/>
  <c r="P26" i="11"/>
  <c r="Q26" i="11"/>
  <c r="E27" i="11"/>
  <c r="F27" i="11"/>
  <c r="G27" i="11"/>
  <c r="H27" i="11"/>
  <c r="I27" i="11"/>
  <c r="K27" i="11"/>
  <c r="L27" i="11"/>
  <c r="M27" i="11"/>
  <c r="N27" i="11"/>
  <c r="O27" i="11"/>
  <c r="P27" i="11"/>
  <c r="Q27" i="11"/>
  <c r="E28" i="11"/>
  <c r="F28" i="11"/>
  <c r="G28" i="11"/>
  <c r="H28" i="11"/>
  <c r="I28" i="11"/>
  <c r="K28" i="11"/>
  <c r="L28" i="11"/>
  <c r="M28" i="11"/>
  <c r="N28" i="11"/>
  <c r="O28" i="11"/>
  <c r="P28" i="11"/>
  <c r="Q28" i="11"/>
  <c r="E29" i="11"/>
  <c r="F29" i="11"/>
  <c r="G29" i="11"/>
  <c r="H29" i="11"/>
  <c r="I29" i="11"/>
  <c r="K29" i="11"/>
  <c r="L29" i="11"/>
  <c r="M29" i="11"/>
  <c r="N29" i="11"/>
  <c r="O29" i="11"/>
  <c r="P29" i="11"/>
  <c r="Q29" i="11"/>
  <c r="E30" i="11"/>
  <c r="F30" i="11"/>
  <c r="G30" i="11"/>
  <c r="H30" i="11"/>
  <c r="I30" i="11"/>
  <c r="K30" i="11"/>
  <c r="L30" i="11"/>
  <c r="M30" i="11"/>
  <c r="N30" i="11"/>
  <c r="O30" i="11"/>
  <c r="P30" i="11"/>
  <c r="Q30" i="11"/>
  <c r="E31" i="11"/>
  <c r="F31" i="11"/>
  <c r="G31" i="11"/>
  <c r="H31" i="11"/>
  <c r="I31" i="11"/>
  <c r="K31" i="11"/>
  <c r="L31" i="11"/>
  <c r="M31" i="11"/>
  <c r="N31" i="11"/>
  <c r="O31" i="11"/>
  <c r="P31" i="11"/>
  <c r="Q31" i="11"/>
  <c r="V26" i="11"/>
  <c r="W26" i="11"/>
  <c r="X26" i="11"/>
  <c r="Y26" i="11"/>
  <c r="Z26" i="11"/>
  <c r="AB26" i="11"/>
  <c r="AC26" i="11"/>
  <c r="AD26" i="11"/>
  <c r="AE26" i="11"/>
  <c r="AF26" i="11"/>
  <c r="AG26" i="11"/>
  <c r="AH26" i="11"/>
  <c r="V27" i="11"/>
  <c r="W27" i="11"/>
  <c r="X27" i="11"/>
  <c r="Y27" i="11"/>
  <c r="Z27" i="11"/>
  <c r="AB27" i="11"/>
  <c r="AC27" i="11"/>
  <c r="AD27" i="11"/>
  <c r="AE27" i="11"/>
  <c r="AF27" i="11"/>
  <c r="AG27" i="11"/>
  <c r="AH27" i="11"/>
  <c r="V28" i="11"/>
  <c r="W28" i="11"/>
  <c r="X28" i="11"/>
  <c r="Y28" i="11"/>
  <c r="Z28" i="11"/>
  <c r="AB28" i="11"/>
  <c r="AC28" i="11"/>
  <c r="AD28" i="11"/>
  <c r="AE28" i="11"/>
  <c r="AF28" i="11"/>
  <c r="AG28" i="11"/>
  <c r="AH28" i="11"/>
  <c r="V29" i="11"/>
  <c r="W29" i="11"/>
  <c r="X29" i="11"/>
  <c r="Y29" i="11"/>
  <c r="Z29" i="11"/>
  <c r="AB29" i="11"/>
  <c r="AC29" i="11"/>
  <c r="AD29" i="11"/>
  <c r="AE29" i="11"/>
  <c r="AF29" i="11"/>
  <c r="AG29" i="11"/>
  <c r="AH29" i="11"/>
  <c r="V30" i="11"/>
  <c r="W30" i="11"/>
  <c r="X30" i="11"/>
  <c r="Y30" i="11"/>
  <c r="Z30" i="11"/>
  <c r="AB30" i="11"/>
  <c r="AC30" i="11"/>
  <c r="AD30" i="11"/>
  <c r="AE30" i="11"/>
  <c r="AF30" i="11"/>
  <c r="AG30" i="11"/>
  <c r="AH30" i="11"/>
  <c r="V31" i="11"/>
  <c r="W31" i="11"/>
  <c r="X31" i="11"/>
  <c r="Y31" i="11"/>
  <c r="Z31" i="11"/>
  <c r="AB31" i="11"/>
  <c r="AC31" i="11"/>
  <c r="AD31" i="11"/>
  <c r="AE31" i="11"/>
  <c r="AF31" i="11"/>
  <c r="AG31" i="11"/>
  <c r="AH31" i="11"/>
  <c r="C26" i="11"/>
  <c r="D26" i="11"/>
  <c r="B26" i="11"/>
  <c r="D14" i="11"/>
  <c r="E14" i="11"/>
  <c r="F14" i="11"/>
  <c r="G14" i="11"/>
  <c r="H14" i="11"/>
  <c r="I14" i="11"/>
  <c r="K14" i="11"/>
  <c r="L14" i="11"/>
  <c r="M14" i="11"/>
  <c r="N14" i="11"/>
  <c r="O14" i="11"/>
  <c r="P14" i="11"/>
  <c r="Q14" i="11"/>
  <c r="D15" i="11"/>
  <c r="E15" i="11"/>
  <c r="F15" i="11"/>
  <c r="G15" i="11"/>
  <c r="H15" i="11"/>
  <c r="I15" i="11"/>
  <c r="K15" i="11"/>
  <c r="L15" i="11"/>
  <c r="M15" i="11"/>
  <c r="N15" i="11"/>
  <c r="O15" i="11"/>
  <c r="P15" i="11"/>
  <c r="Q15" i="11"/>
  <c r="D16" i="11"/>
  <c r="E16" i="11"/>
  <c r="F16" i="11"/>
  <c r="G16" i="11"/>
  <c r="H16" i="11"/>
  <c r="I16" i="11"/>
  <c r="K16" i="11"/>
  <c r="L16" i="11"/>
  <c r="M16" i="11"/>
  <c r="N16" i="11"/>
  <c r="O16" i="11"/>
  <c r="P16" i="11"/>
  <c r="Q16" i="11"/>
  <c r="D17" i="11"/>
  <c r="E17" i="11"/>
  <c r="F17" i="11"/>
  <c r="G17" i="11"/>
  <c r="H17" i="11"/>
  <c r="I17" i="11"/>
  <c r="K17" i="11"/>
  <c r="L17" i="11"/>
  <c r="M17" i="11"/>
  <c r="N17" i="11"/>
  <c r="O17" i="11"/>
  <c r="P17" i="11"/>
  <c r="Q17" i="11"/>
  <c r="D18" i="11"/>
  <c r="E18" i="11"/>
  <c r="F18" i="11"/>
  <c r="G18" i="11"/>
  <c r="H18" i="11"/>
  <c r="I18" i="11"/>
  <c r="K18" i="11"/>
  <c r="L18" i="11"/>
  <c r="M18" i="11"/>
  <c r="N18" i="11"/>
  <c r="O18" i="11"/>
  <c r="P18" i="11"/>
  <c r="Q18" i="11"/>
  <c r="U19" i="11"/>
  <c r="V19" i="11"/>
  <c r="W19" i="11"/>
  <c r="X19" i="11"/>
  <c r="Y19" i="11"/>
  <c r="Z19" i="11"/>
  <c r="AB19" i="11"/>
  <c r="AC19" i="11"/>
  <c r="AD19" i="11"/>
  <c r="AE19" i="11"/>
  <c r="AF19" i="11"/>
  <c r="AG19" i="11"/>
  <c r="AH19" i="11"/>
  <c r="Q38" i="11"/>
  <c r="Q39" i="11"/>
  <c r="Q40" i="11"/>
  <c r="Q41" i="11"/>
  <c r="Q42" i="11"/>
  <c r="Q43" i="11"/>
  <c r="Q50" i="11"/>
  <c r="Q51" i="11"/>
  <c r="Q52" i="11"/>
  <c r="AH55" i="11"/>
  <c r="AH38" i="11"/>
  <c r="AH39" i="11"/>
  <c r="AH42" i="11"/>
  <c r="AH43" i="11"/>
  <c r="AH44" i="11"/>
  <c r="U14" i="11"/>
  <c r="V14" i="11"/>
  <c r="W14" i="11"/>
  <c r="X14" i="11"/>
  <c r="Y14" i="11"/>
  <c r="Z14" i="11"/>
  <c r="AB14" i="11"/>
  <c r="AC14" i="11"/>
  <c r="AD14" i="11"/>
  <c r="AE14" i="11"/>
  <c r="AF14" i="11"/>
  <c r="AG14" i="11"/>
  <c r="AH14" i="11"/>
  <c r="U15" i="11"/>
  <c r="V15" i="11"/>
  <c r="W15" i="11"/>
  <c r="X15" i="11"/>
  <c r="Y15" i="11"/>
  <c r="Z15" i="11"/>
  <c r="AB15" i="11"/>
  <c r="AC15" i="11"/>
  <c r="AD15" i="11"/>
  <c r="AE15" i="11"/>
  <c r="AF15" i="11"/>
  <c r="AG15" i="11"/>
  <c r="AH15" i="11"/>
  <c r="U16" i="11"/>
  <c r="V16" i="11"/>
  <c r="W16" i="11"/>
  <c r="X16" i="11"/>
  <c r="Y16" i="11"/>
  <c r="Z16" i="11"/>
  <c r="AB16" i="11"/>
  <c r="AC16" i="11"/>
  <c r="AD16" i="11"/>
  <c r="AE16" i="11"/>
  <c r="AF16" i="11"/>
  <c r="AG16" i="11"/>
  <c r="AH16" i="11"/>
  <c r="U17" i="11"/>
  <c r="V17" i="11"/>
  <c r="W17" i="11"/>
  <c r="X17" i="11"/>
  <c r="Y17" i="11"/>
  <c r="Z17" i="11"/>
  <c r="AB17" i="11"/>
  <c r="AC17" i="11"/>
  <c r="AD17" i="11"/>
  <c r="AE17" i="11"/>
  <c r="AF17" i="11"/>
  <c r="AG17" i="11"/>
  <c r="AH17" i="11"/>
  <c r="T14" i="11"/>
  <c r="T15" i="11"/>
  <c r="S15" i="11"/>
  <c r="S14" i="11"/>
  <c r="C15" i="11"/>
  <c r="B15" i="11"/>
  <c r="M4" i="28" l="1"/>
  <c r="M6" i="28"/>
  <c r="M8" i="28"/>
  <c r="M9" i="28"/>
  <c r="M7" i="28"/>
  <c r="J46" i="28"/>
  <c r="J17" i="11"/>
  <c r="J17" i="28"/>
  <c r="J34" i="28"/>
  <c r="AA15" i="11"/>
  <c r="AA15" i="28"/>
  <c r="J14" i="11"/>
  <c r="J14" i="28"/>
  <c r="AA66" i="28"/>
  <c r="AA66" i="11"/>
  <c r="AA66" i="24"/>
  <c r="AA26" i="11"/>
  <c r="AA26" i="28"/>
  <c r="AA51" i="26"/>
  <c r="J52" i="27"/>
  <c r="AA51" i="11"/>
  <c r="J52" i="24"/>
  <c r="AA51" i="28"/>
  <c r="AA17" i="11"/>
  <c r="AA17" i="28"/>
  <c r="AA45" i="27"/>
  <c r="AA50" i="26"/>
  <c r="AA50" i="11"/>
  <c r="AA45" i="24"/>
  <c r="AA50" i="28"/>
  <c r="J15" i="11"/>
  <c r="AA32" i="11"/>
  <c r="AA32" i="28"/>
  <c r="AA46" i="28"/>
  <c r="AA44" i="27"/>
  <c r="AA44" i="24"/>
  <c r="J54" i="28"/>
  <c r="AA53" i="11"/>
  <c r="AA53" i="28"/>
  <c r="AA65" i="26"/>
  <c r="AA65" i="27"/>
  <c r="AA64" i="28"/>
  <c r="AA18" i="28"/>
  <c r="AA18" i="24"/>
  <c r="AA18" i="27"/>
  <c r="AA18" i="26"/>
  <c r="AA18" i="11"/>
  <c r="AA16" i="11"/>
  <c r="AA16" i="28"/>
  <c r="AA43" i="27"/>
  <c r="AA43" i="24"/>
  <c r="J53" i="28"/>
  <c r="J16" i="11"/>
  <c r="J16" i="28"/>
  <c r="AA69" i="11"/>
  <c r="AA69" i="28"/>
  <c r="AA21" i="27"/>
  <c r="AA21" i="24"/>
  <c r="AA28" i="26"/>
  <c r="AA38" i="24"/>
  <c r="AA40" i="26"/>
  <c r="AA38" i="27"/>
  <c r="AA41" i="24"/>
  <c r="AA43" i="26"/>
  <c r="AA41" i="27"/>
  <c r="J30" i="27"/>
  <c r="J30" i="24"/>
  <c r="J30" i="26"/>
  <c r="J15" i="24"/>
  <c r="J15" i="27"/>
  <c r="J15" i="26"/>
  <c r="J44" i="24"/>
  <c r="J44" i="27"/>
  <c r="AA53" i="26"/>
  <c r="AA64" i="24"/>
  <c r="AA39" i="26"/>
  <c r="AA32" i="27"/>
  <c r="J40" i="24"/>
  <c r="J40" i="26"/>
  <c r="J41" i="27"/>
  <c r="AA20" i="26"/>
  <c r="AA20" i="27"/>
  <c r="AA20" i="24"/>
  <c r="J50" i="24"/>
  <c r="J19" i="11"/>
  <c r="J19" i="24"/>
  <c r="J19" i="26"/>
  <c r="J19" i="27"/>
  <c r="AA42" i="27"/>
  <c r="AA42" i="24"/>
  <c r="AA44" i="26"/>
  <c r="J43" i="24"/>
  <c r="J18" i="24"/>
  <c r="J18" i="26"/>
  <c r="J18" i="27"/>
  <c r="AA54" i="26"/>
  <c r="J54" i="27"/>
  <c r="J54" i="24"/>
  <c r="J52" i="26"/>
  <c r="J51" i="27"/>
  <c r="J42" i="24"/>
  <c r="J42" i="26"/>
  <c r="J42" i="27"/>
  <c r="J39" i="26"/>
  <c r="J40" i="27"/>
  <c r="J29" i="27"/>
  <c r="J29" i="24"/>
  <c r="J29" i="26"/>
  <c r="AA33" i="27"/>
  <c r="AA33" i="24"/>
  <c r="AA32" i="26"/>
  <c r="AA55" i="26"/>
  <c r="J56" i="24"/>
  <c r="J56" i="27"/>
  <c r="J50" i="27"/>
  <c r="J51" i="26"/>
  <c r="AA63" i="24"/>
  <c r="AA32" i="24"/>
  <c r="AA63" i="26"/>
  <c r="AA63" i="27"/>
  <c r="J39" i="24"/>
  <c r="J38" i="26"/>
  <c r="J39" i="27"/>
  <c r="J28" i="27"/>
  <c r="J28" i="24"/>
  <c r="J28" i="26"/>
  <c r="AA26" i="24"/>
  <c r="AA26" i="26"/>
  <c r="AA26" i="27"/>
  <c r="J26" i="24"/>
  <c r="J26" i="26"/>
  <c r="J26" i="27"/>
  <c r="AA30" i="27"/>
  <c r="AA30" i="24"/>
  <c r="AA30" i="26"/>
  <c r="AA40" i="11"/>
  <c r="J55" i="26"/>
  <c r="J55" i="24"/>
  <c r="J55" i="27"/>
  <c r="AA40" i="27"/>
  <c r="AA42" i="26"/>
  <c r="AA62" i="27"/>
  <c r="J41" i="24"/>
  <c r="AA62" i="26"/>
  <c r="AA28" i="27"/>
  <c r="AA28" i="24"/>
  <c r="AA29" i="26"/>
  <c r="AA19" i="11"/>
  <c r="AA19" i="26"/>
  <c r="AA19" i="27"/>
  <c r="AA19" i="24"/>
  <c r="AA15" i="26"/>
  <c r="AA15" i="24"/>
  <c r="AA15" i="27"/>
  <c r="J14" i="27"/>
  <c r="J14" i="24"/>
  <c r="J14" i="26"/>
  <c r="AA31" i="27"/>
  <c r="AA31" i="24"/>
  <c r="AA31" i="26"/>
  <c r="AA40" i="24"/>
  <c r="J31" i="27"/>
  <c r="J31" i="24"/>
  <c r="J31" i="26"/>
  <c r="AA29" i="24"/>
  <c r="AA38" i="26"/>
  <c r="AA29" i="27"/>
  <c r="J51" i="24"/>
  <c r="AA39" i="24"/>
  <c r="AA41" i="26"/>
  <c r="AA39" i="27"/>
  <c r="J32" i="24"/>
  <c r="J41" i="26"/>
  <c r="J32" i="27"/>
  <c r="J20" i="24"/>
  <c r="J20" i="26"/>
  <c r="J20" i="27"/>
  <c r="AA14" i="11"/>
  <c r="AA14" i="24"/>
  <c r="AA14" i="26"/>
  <c r="AA14" i="27"/>
  <c r="M8" i="26"/>
  <c r="M5" i="26"/>
  <c r="M6" i="26"/>
  <c r="M7" i="26"/>
  <c r="M4" i="26"/>
  <c r="J54" i="26"/>
  <c r="J54" i="11"/>
  <c r="J53" i="11"/>
  <c r="J53" i="26"/>
  <c r="AA69" i="26"/>
  <c r="AA69" i="27"/>
  <c r="AA69" i="24"/>
  <c r="AA68" i="27"/>
  <c r="AA68" i="26"/>
  <c r="AA68" i="24"/>
  <c r="J43" i="26"/>
  <c r="J43" i="27"/>
  <c r="AA64" i="27"/>
  <c r="AA64" i="26"/>
  <c r="AA62" i="24"/>
  <c r="AA67" i="24"/>
  <c r="AA67" i="26"/>
  <c r="AA67" i="27"/>
  <c r="AA66" i="26"/>
  <c r="AA66" i="27"/>
  <c r="AA65" i="24"/>
  <c r="AA61" i="26"/>
  <c r="AA61" i="27"/>
  <c r="AA61" i="24"/>
  <c r="AA16" i="27"/>
  <c r="AA16" i="26"/>
  <c r="AA16" i="24"/>
  <c r="J16" i="27"/>
  <c r="J16" i="26"/>
  <c r="J16" i="24"/>
  <c r="M7" i="27"/>
  <c r="J17" i="27"/>
  <c r="J17" i="26"/>
  <c r="J17" i="24"/>
  <c r="J38" i="24"/>
  <c r="J50" i="26"/>
  <c r="J38" i="27"/>
  <c r="J27" i="11"/>
  <c r="J27" i="24"/>
  <c r="J27" i="27"/>
  <c r="J27" i="26"/>
  <c r="AA17" i="27"/>
  <c r="AA17" i="26"/>
  <c r="AA17" i="24"/>
  <c r="AA27" i="11"/>
  <c r="AA27" i="24"/>
  <c r="AA27" i="27"/>
  <c r="AA27" i="26"/>
  <c r="M5" i="27"/>
  <c r="M6" i="27"/>
  <c r="M9" i="27"/>
  <c r="M4" i="27"/>
  <c r="M8" i="24"/>
  <c r="M5" i="24"/>
  <c r="M6" i="24"/>
  <c r="M4" i="24"/>
  <c r="M9" i="24"/>
  <c r="J55" i="11"/>
  <c r="J18" i="11"/>
  <c r="J26" i="11"/>
  <c r="AA41" i="11"/>
  <c r="E22" i="11"/>
  <c r="E34" i="11"/>
  <c r="D22" i="11"/>
  <c r="U22" i="11"/>
  <c r="AA62" i="11"/>
  <c r="J20" i="11"/>
  <c r="H34" i="11"/>
  <c r="Z22" i="11"/>
  <c r="I34" i="11"/>
  <c r="G34" i="11"/>
  <c r="F34" i="11"/>
  <c r="Y22" i="11"/>
  <c r="I22" i="11"/>
  <c r="X22" i="11"/>
  <c r="W22" i="11"/>
  <c r="V22" i="11"/>
  <c r="H22" i="11"/>
  <c r="G22" i="11"/>
  <c r="F22" i="11"/>
  <c r="O8" i="27" l="1"/>
  <c r="O8" i="26"/>
  <c r="O8" i="24"/>
  <c r="J22" i="11"/>
  <c r="J57" i="28"/>
  <c r="AA22" i="28"/>
  <c r="J22" i="28"/>
  <c r="J5" i="28" a="1"/>
  <c r="J5" i="28" s="1"/>
  <c r="J9" i="28" a="1"/>
  <c r="J9" i="28" s="1"/>
  <c r="J8" i="28" a="1"/>
  <c r="J8" i="28" s="1"/>
  <c r="J6" i="28" a="1"/>
  <c r="J6" i="28" s="1"/>
  <c r="J7" i="28" a="1"/>
  <c r="J7" i="28" s="1"/>
  <c r="J4" i="28" a="1"/>
  <c r="J4" i="28" s="1"/>
  <c r="AA57" i="28"/>
  <c r="AA34" i="28"/>
  <c r="AA34" i="26"/>
  <c r="AA46" i="26"/>
  <c r="AA34" i="24"/>
  <c r="J34" i="27"/>
  <c r="AA57" i="26"/>
  <c r="AA34" i="27"/>
  <c r="J34" i="24"/>
  <c r="AA46" i="24"/>
  <c r="J46" i="24"/>
  <c r="J34" i="26"/>
  <c r="J46" i="26"/>
  <c r="J57" i="24"/>
  <c r="AA46" i="27"/>
  <c r="J57" i="26"/>
  <c r="J57" i="27"/>
  <c r="J46" i="27"/>
  <c r="J4" i="24" a="1"/>
  <c r="J4" i="24" s="1"/>
  <c r="J9" i="24" a="1"/>
  <c r="J9" i="24" s="1"/>
  <c r="J8" i="24" a="1"/>
  <c r="J8" i="24" s="1"/>
  <c r="J7" i="24" a="1"/>
  <c r="J7" i="24" s="1"/>
  <c r="J5" i="24" a="1"/>
  <c r="J5" i="24" s="1"/>
  <c r="J6" i="24" a="1"/>
  <c r="J6" i="24" s="1"/>
  <c r="J22" i="24"/>
  <c r="AA22" i="24"/>
  <c r="J4" i="26" a="1"/>
  <c r="J4" i="26" s="1"/>
  <c r="J6" i="26" a="1"/>
  <c r="J6" i="26" s="1"/>
  <c r="J7" i="26" a="1"/>
  <c r="J7" i="26" s="1"/>
  <c r="J8" i="26" a="1"/>
  <c r="J8" i="26" s="1"/>
  <c r="J9" i="26" a="1"/>
  <c r="J9" i="26" s="1"/>
  <c r="J22" i="26"/>
  <c r="J5" i="26" a="1"/>
  <c r="J5" i="26" s="1"/>
  <c r="AA22" i="26"/>
  <c r="J7" i="27" a="1"/>
  <c r="J7" i="27" s="1"/>
  <c r="J8" i="27" a="1"/>
  <c r="J8" i="27" s="1"/>
  <c r="J9" i="27" a="1"/>
  <c r="J9" i="27" s="1"/>
  <c r="J5" i="27" a="1"/>
  <c r="J5" i="27" s="1"/>
  <c r="J6" i="27" a="1"/>
  <c r="J6" i="27" s="1"/>
  <c r="J4" i="27" a="1"/>
  <c r="J4" i="27" s="1"/>
  <c r="J22" i="27"/>
  <c r="AA22" i="27"/>
  <c r="T44" i="11"/>
  <c r="B40" i="11"/>
  <c r="C40" i="11"/>
  <c r="D40" i="11"/>
  <c r="E40" i="11"/>
  <c r="F40" i="11"/>
  <c r="G40" i="11"/>
  <c r="H40" i="11"/>
  <c r="I40" i="11"/>
  <c r="K40" i="11"/>
  <c r="L40" i="11"/>
  <c r="M40" i="11"/>
  <c r="N40" i="11"/>
  <c r="O40" i="11"/>
  <c r="P40" i="11"/>
  <c r="B41" i="11"/>
  <c r="C41" i="11"/>
  <c r="D41" i="11"/>
  <c r="E41" i="11"/>
  <c r="F41" i="11"/>
  <c r="G41" i="11"/>
  <c r="H41" i="11"/>
  <c r="I41" i="11"/>
  <c r="K41" i="11"/>
  <c r="L41" i="11"/>
  <c r="M41" i="11"/>
  <c r="N41" i="11"/>
  <c r="O41" i="11"/>
  <c r="P41" i="11"/>
  <c r="B42" i="11"/>
  <c r="C42" i="11"/>
  <c r="D42" i="11"/>
  <c r="E42" i="11"/>
  <c r="F42" i="11"/>
  <c r="G42" i="11"/>
  <c r="H42" i="11"/>
  <c r="I42" i="11"/>
  <c r="K42" i="11"/>
  <c r="L42" i="11"/>
  <c r="M42" i="11"/>
  <c r="N42" i="11"/>
  <c r="O42" i="11"/>
  <c r="P42" i="11"/>
  <c r="D38" i="11"/>
  <c r="E38" i="11"/>
  <c r="F38" i="11"/>
  <c r="G38" i="11"/>
  <c r="H38" i="11"/>
  <c r="I38" i="11"/>
  <c r="K38" i="11"/>
  <c r="L38" i="11"/>
  <c r="M38" i="11"/>
  <c r="N38" i="11"/>
  <c r="O38" i="11"/>
  <c r="P38" i="11"/>
  <c r="D39" i="11"/>
  <c r="E39" i="11"/>
  <c r="F39" i="11"/>
  <c r="G39" i="11"/>
  <c r="H39" i="11"/>
  <c r="I39" i="11"/>
  <c r="K39" i="11"/>
  <c r="L39" i="11"/>
  <c r="M39" i="11"/>
  <c r="N39" i="11"/>
  <c r="O39" i="11"/>
  <c r="P39" i="11"/>
  <c r="D43" i="11"/>
  <c r="E43" i="11"/>
  <c r="F43" i="11"/>
  <c r="G43" i="11"/>
  <c r="H43" i="11"/>
  <c r="I43" i="11"/>
  <c r="K43" i="11"/>
  <c r="L43" i="11"/>
  <c r="M43" i="11"/>
  <c r="N43" i="11"/>
  <c r="O43" i="11"/>
  <c r="P43" i="11"/>
  <c r="V34" i="11"/>
  <c r="W34" i="11"/>
  <c r="X34" i="11"/>
  <c r="Y34" i="11"/>
  <c r="Z34" i="11"/>
  <c r="D50" i="11"/>
  <c r="E50" i="11"/>
  <c r="F50" i="11"/>
  <c r="G50" i="11"/>
  <c r="H50" i="11"/>
  <c r="I50" i="11"/>
  <c r="K50" i="11"/>
  <c r="L50" i="11"/>
  <c r="M50" i="11"/>
  <c r="N50" i="11"/>
  <c r="O50" i="11"/>
  <c r="P50" i="11"/>
  <c r="D51" i="11"/>
  <c r="E51" i="11"/>
  <c r="F51" i="11"/>
  <c r="G51" i="11"/>
  <c r="H51" i="11"/>
  <c r="I51" i="11"/>
  <c r="K51" i="11"/>
  <c r="L51" i="11"/>
  <c r="M51" i="11"/>
  <c r="N51" i="11"/>
  <c r="O51" i="11"/>
  <c r="P51" i="11"/>
  <c r="D52" i="11"/>
  <c r="E52" i="11"/>
  <c r="F52" i="11"/>
  <c r="G52" i="11"/>
  <c r="H52" i="11"/>
  <c r="I52" i="11"/>
  <c r="K52" i="11"/>
  <c r="L52" i="11"/>
  <c r="M52" i="11"/>
  <c r="N52" i="11"/>
  <c r="O52" i="11"/>
  <c r="P52" i="11"/>
  <c r="U55" i="11"/>
  <c r="V55" i="11"/>
  <c r="W55" i="11"/>
  <c r="X55" i="11"/>
  <c r="Y55" i="11"/>
  <c r="Z55" i="11"/>
  <c r="AB55" i="11"/>
  <c r="AC55" i="11"/>
  <c r="AD55" i="11"/>
  <c r="AE55" i="11"/>
  <c r="AF55" i="11"/>
  <c r="AG55" i="11"/>
  <c r="U43" i="11"/>
  <c r="V43" i="11"/>
  <c r="W43" i="11"/>
  <c r="X43" i="11"/>
  <c r="Y43" i="11"/>
  <c r="Z43" i="11"/>
  <c r="AB43" i="11"/>
  <c r="AC43" i="11"/>
  <c r="AD43" i="11"/>
  <c r="AE43" i="11"/>
  <c r="AF43" i="11"/>
  <c r="AG43" i="11"/>
  <c r="U38" i="11"/>
  <c r="V38" i="11"/>
  <c r="W38" i="11"/>
  <c r="X38" i="11"/>
  <c r="Y38" i="11"/>
  <c r="Z38" i="11"/>
  <c r="AB38" i="11"/>
  <c r="AC38" i="11"/>
  <c r="AD38" i="11"/>
  <c r="AE38" i="11"/>
  <c r="AF38" i="11"/>
  <c r="AG38" i="11"/>
  <c r="U44" i="11"/>
  <c r="V44" i="11"/>
  <c r="W44" i="11"/>
  <c r="X44" i="11"/>
  <c r="Y44" i="11"/>
  <c r="Z44" i="11"/>
  <c r="AB44" i="11"/>
  <c r="AC44" i="11"/>
  <c r="AD44" i="11"/>
  <c r="AE44" i="11"/>
  <c r="AF44" i="11"/>
  <c r="AG44" i="11"/>
  <c r="U39" i="11"/>
  <c r="V39" i="11"/>
  <c r="W39" i="11"/>
  <c r="X39" i="11"/>
  <c r="Y39" i="11"/>
  <c r="Z39" i="11"/>
  <c r="AB39" i="11"/>
  <c r="AC39" i="11"/>
  <c r="AD39" i="11"/>
  <c r="AE39" i="11"/>
  <c r="AF39" i="11"/>
  <c r="AG39" i="11"/>
  <c r="U42" i="11"/>
  <c r="V42" i="11"/>
  <c r="W42" i="11"/>
  <c r="X42" i="11"/>
  <c r="Y42" i="11"/>
  <c r="Z42" i="11"/>
  <c r="AB42" i="11"/>
  <c r="AC42" i="11"/>
  <c r="AD42" i="11"/>
  <c r="AE42" i="11"/>
  <c r="AF42" i="11"/>
  <c r="AG42" i="11"/>
  <c r="U26" i="11"/>
  <c r="U27" i="11"/>
  <c r="U28" i="11"/>
  <c r="U29" i="11"/>
  <c r="U30" i="11"/>
  <c r="U31" i="11"/>
  <c r="C27" i="11"/>
  <c r="D27" i="11"/>
  <c r="C28" i="11"/>
  <c r="D28" i="11"/>
  <c r="C29" i="11"/>
  <c r="D29" i="11"/>
  <c r="C31" i="11"/>
  <c r="D31" i="11"/>
  <c r="C30" i="11"/>
  <c r="D30" i="11"/>
  <c r="C38" i="11"/>
  <c r="C39" i="11"/>
  <c r="C43" i="11"/>
  <c r="T26" i="11"/>
  <c r="T27" i="11"/>
  <c r="S27" i="11"/>
  <c r="S26" i="11"/>
  <c r="B27" i="11"/>
  <c r="T16" i="11"/>
  <c r="T17" i="11"/>
  <c r="T19" i="11"/>
  <c r="S19" i="11"/>
  <c r="S17" i="11"/>
  <c r="S16" i="11"/>
  <c r="C14" i="11"/>
  <c r="C16" i="11"/>
  <c r="C17" i="11"/>
  <c r="C18" i="11"/>
  <c r="C19" i="11"/>
  <c r="B19" i="11"/>
  <c r="B18" i="11"/>
  <c r="B17" i="11"/>
  <c r="B16" i="11"/>
  <c r="B14" i="11"/>
  <c r="T55" i="11"/>
  <c r="S55" i="11"/>
  <c r="T43" i="11"/>
  <c r="T38" i="11"/>
  <c r="T39" i="11"/>
  <c r="T42" i="11"/>
  <c r="C50" i="11"/>
  <c r="C51" i="11"/>
  <c r="C52" i="11"/>
  <c r="B52" i="11"/>
  <c r="B51" i="11"/>
  <c r="B50" i="11"/>
  <c r="S42" i="11"/>
  <c r="S39" i="11"/>
  <c r="S44" i="11"/>
  <c r="S38" i="11"/>
  <c r="S43" i="11"/>
  <c r="B43" i="11"/>
  <c r="B39" i="11"/>
  <c r="B38" i="11"/>
  <c r="T28" i="11"/>
  <c r="T30" i="11"/>
  <c r="T31" i="11"/>
  <c r="S31" i="11"/>
  <c r="S30" i="11"/>
  <c r="S29" i="11"/>
  <c r="S28" i="11"/>
  <c r="B30" i="11"/>
  <c r="B31" i="11"/>
  <c r="B29" i="11"/>
  <c r="B28" i="11"/>
  <c r="D4" i="11" l="1" a="1"/>
  <c r="D4" i="11" s="1"/>
  <c r="D6" i="11" a="1"/>
  <c r="D6" i="11" s="1"/>
  <c r="E13" i="32" s="1"/>
  <c r="D7" i="11" a="1"/>
  <c r="D7" i="11" s="1"/>
  <c r="I8" i="11" a="1"/>
  <c r="I8" i="11" s="1"/>
  <c r="I6" i="11" a="1"/>
  <c r="I6" i="11" s="1"/>
  <c r="G8" i="11" a="1"/>
  <c r="G8" i="11" s="1"/>
  <c r="G6" i="11" a="1"/>
  <c r="G6" i="11" s="1"/>
  <c r="H6" i="11" a="1"/>
  <c r="H6" i="11" s="1"/>
  <c r="H8" i="11" a="1"/>
  <c r="H8" i="11" s="1"/>
  <c r="J10" i="28"/>
  <c r="J10" i="27"/>
  <c r="J10" i="26"/>
  <c r="N4" i="32" s="1"/>
  <c r="D57" i="11"/>
  <c r="U57" i="11"/>
  <c r="J10" i="24"/>
  <c r="D9" i="11" a="1"/>
  <c r="D9" i="11" s="1"/>
  <c r="E14" i="32" s="1"/>
  <c r="Y57" i="11"/>
  <c r="U46" i="11"/>
  <c r="X57" i="11"/>
  <c r="U34" i="11"/>
  <c r="AA68" i="11"/>
  <c r="AA64" i="11"/>
  <c r="AA63" i="11"/>
  <c r="W57" i="11"/>
  <c r="H9" i="11" a="1"/>
  <c r="H9" i="11" s="1"/>
  <c r="H7" i="11" a="1"/>
  <c r="H7" i="11" s="1"/>
  <c r="H4" i="11" a="1"/>
  <c r="H4" i="11" s="1"/>
  <c r="H5" i="11" a="1"/>
  <c r="H5" i="11" s="1"/>
  <c r="I9" i="11" a="1"/>
  <c r="I9" i="11" s="1"/>
  <c r="I4" i="11" a="1"/>
  <c r="I4" i="11" s="1"/>
  <c r="I7" i="11" a="1"/>
  <c r="I7" i="11" s="1"/>
  <c r="I5" i="11" a="1"/>
  <c r="I5" i="11" s="1"/>
  <c r="G7" i="11" a="1"/>
  <c r="G7" i="11" s="1"/>
  <c r="G5" i="11" a="1"/>
  <c r="G5" i="11" s="1"/>
  <c r="G4" i="11" a="1"/>
  <c r="G4" i="11" s="1"/>
  <c r="G9" i="11" a="1"/>
  <c r="G9" i="11" s="1"/>
  <c r="F57" i="11"/>
  <c r="F5" i="11" a="1"/>
  <c r="F5" i="11" s="1"/>
  <c r="F7" i="11" a="1"/>
  <c r="F7" i="11" s="1"/>
  <c r="F4" i="11" a="1"/>
  <c r="F4" i="11" s="1"/>
  <c r="F6" i="11" a="1"/>
  <c r="F6" i="11" s="1"/>
  <c r="F9" i="11" a="1"/>
  <c r="F9" i="11" s="1"/>
  <c r="F8" i="11" a="1"/>
  <c r="F8" i="11" s="1"/>
  <c r="E6" i="11" a="1"/>
  <c r="E6" i="11" s="1"/>
  <c r="F13" i="32" s="1"/>
  <c r="E8" i="11" a="1"/>
  <c r="E8" i="11" s="1"/>
  <c r="F12" i="32" s="1"/>
  <c r="E9" i="11" a="1"/>
  <c r="E9" i="11" s="1"/>
  <c r="F14" i="32" s="1"/>
  <c r="E7" i="11" a="1"/>
  <c r="E7" i="11" s="1"/>
  <c r="F11" i="32" s="1"/>
  <c r="E4" i="11" a="1"/>
  <c r="E4" i="11" s="1"/>
  <c r="E5" i="11" a="1"/>
  <c r="E5" i="11" s="1"/>
  <c r="F10" i="32" s="1"/>
  <c r="D46" i="11"/>
  <c r="D34" i="11"/>
  <c r="Z46" i="11"/>
  <c r="Z57" i="11"/>
  <c r="I57" i="11"/>
  <c r="I46" i="11"/>
  <c r="Y46" i="11"/>
  <c r="H57" i="11"/>
  <c r="H46" i="11"/>
  <c r="X46" i="11"/>
  <c r="G57" i="11"/>
  <c r="G46" i="11"/>
  <c r="W46" i="11"/>
  <c r="F46" i="11"/>
  <c r="V46" i="11"/>
  <c r="V57" i="11"/>
  <c r="E57" i="11"/>
  <c r="E46" i="11"/>
  <c r="D5" i="11" a="1"/>
  <c r="D5" i="11" s="1"/>
  <c r="E10" i="32" s="1"/>
  <c r="D8" i="11" a="1"/>
  <c r="D8" i="11" s="1"/>
  <c r="D10" i="11" l="1"/>
  <c r="E2" i="32" s="1"/>
  <c r="L12" i="32" s="1"/>
  <c r="P7" i="11"/>
  <c r="F9" i="32"/>
  <c r="O10" i="32"/>
  <c r="E12" i="32"/>
  <c r="O14" i="32"/>
  <c r="E11" i="32"/>
  <c r="O13" i="32"/>
  <c r="O7" i="11"/>
  <c r="E9" i="32"/>
  <c r="I10" i="11"/>
  <c r="M3" i="32" s="1"/>
  <c r="G10" i="11"/>
  <c r="K3" i="32" s="1"/>
  <c r="E10" i="11"/>
  <c r="E3" i="32" s="1"/>
  <c r="F10" i="11"/>
  <c r="H10" i="11"/>
  <c r="L3" i="32" s="1"/>
  <c r="L11" i="32" l="1"/>
  <c r="M9" i="11"/>
  <c r="M7" i="11"/>
  <c r="J14" i="32"/>
  <c r="L9" i="32"/>
  <c r="L10" i="32"/>
  <c r="J10" i="32"/>
  <c r="M4" i="11"/>
  <c r="J13" i="32"/>
  <c r="L13" i="32"/>
  <c r="M8" i="11"/>
  <c r="L14" i="32"/>
  <c r="M9" i="32"/>
  <c r="M12" i="32"/>
  <c r="M10" i="32"/>
  <c r="M13" i="32"/>
  <c r="M11" i="32"/>
  <c r="M14" i="32"/>
  <c r="K13" i="32"/>
  <c r="J12" i="32"/>
  <c r="O12" i="32"/>
  <c r="K11" i="32"/>
  <c r="K10" i="32"/>
  <c r="K12" i="32"/>
  <c r="K14" i="32"/>
  <c r="O9" i="32"/>
  <c r="J9" i="32"/>
  <c r="J11" i="32"/>
  <c r="O11" i="32"/>
  <c r="K9" i="32"/>
  <c r="M5" i="11"/>
  <c r="M6" i="11"/>
  <c r="AA20" i="11"/>
  <c r="AA61" i="11"/>
  <c r="AA67" i="11"/>
  <c r="AA54" i="11"/>
  <c r="AA65" i="11"/>
  <c r="J29" i="11"/>
  <c r="AA30" i="11"/>
  <c r="J28" i="11"/>
  <c r="J30" i="11"/>
  <c r="J31" i="11"/>
  <c r="AA31" i="11"/>
  <c r="AA28" i="11"/>
  <c r="AA29" i="11"/>
  <c r="J38" i="11"/>
  <c r="J50" i="11"/>
  <c r="AA38" i="11"/>
  <c r="AA43" i="11"/>
  <c r="AA42" i="11"/>
  <c r="AA44" i="11"/>
  <c r="J51" i="11"/>
  <c r="J40" i="11"/>
  <c r="AA55" i="11"/>
  <c r="J41" i="11"/>
  <c r="J52" i="11"/>
  <c r="AA39" i="11"/>
  <c r="J42" i="11"/>
  <c r="J43" i="11"/>
  <c r="J39" i="11"/>
  <c r="O8" i="11" l="1"/>
  <c r="AA34" i="11"/>
  <c r="E4" i="32"/>
  <c r="J46" i="11"/>
  <c r="J7" i="11" a="1"/>
  <c r="J7" i="11" s="1"/>
  <c r="J5" i="11" a="1"/>
  <c r="J5" i="11" s="1"/>
  <c r="J8" i="11" a="1"/>
  <c r="J8" i="11" s="1"/>
  <c r="J6" i="11" a="1"/>
  <c r="J6" i="11" s="1"/>
  <c r="J4" i="11" a="1"/>
  <c r="J4" i="11" s="1"/>
  <c r="J9" i="11" a="1"/>
  <c r="J9" i="11" s="1"/>
  <c r="J34" i="11"/>
  <c r="AA46" i="11"/>
  <c r="J57" i="11"/>
  <c r="AA22" i="11"/>
  <c r="AA57" i="11"/>
  <c r="J10" i="11" l="1"/>
  <c r="N3" i="3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<sst xmlns="http://schemas.openxmlformats.org/spreadsheetml/2006/main" count="2345" uniqueCount="403">
  <si>
    <t>Requirements</t>
  </si>
  <si>
    <t>Credits and SWL</t>
  </si>
  <si>
    <t>Contact Hours</t>
  </si>
  <si>
    <t>CH</t>
  </si>
  <si>
    <t>ECTS</t>
  </si>
  <si>
    <t>SWL</t>
  </si>
  <si>
    <t>Lec</t>
  </si>
  <si>
    <t>Tut</t>
  </si>
  <si>
    <t>Lab</t>
  </si>
  <si>
    <t>TT</t>
  </si>
  <si>
    <t>University Requirements</t>
  </si>
  <si>
    <t>12 (Min.)</t>
  </si>
  <si>
    <t>Faculty of Engineering Requirements</t>
  </si>
  <si>
    <t>29 (Min.)</t>
  </si>
  <si>
    <t xml:space="preserve">Basic Sciences Requirements </t>
  </si>
  <si>
    <t>43 (Max.)</t>
  </si>
  <si>
    <t>Fall Y1</t>
  </si>
  <si>
    <t>Code</t>
  </si>
  <si>
    <t>Course Title</t>
  </si>
  <si>
    <t>PreReq.</t>
  </si>
  <si>
    <t>Univ</t>
  </si>
  <si>
    <t>EAS</t>
  </si>
  <si>
    <t>Prog</t>
  </si>
  <si>
    <t>Spring Y1</t>
  </si>
  <si>
    <t>English I</t>
  </si>
  <si>
    <t>English II</t>
  </si>
  <si>
    <t>Calculus II</t>
  </si>
  <si>
    <t>Physics II</t>
  </si>
  <si>
    <t>PHY111</t>
  </si>
  <si>
    <t>Physics I</t>
  </si>
  <si>
    <t>PHY112</t>
  </si>
  <si>
    <t>Engineering Drawing</t>
  </si>
  <si>
    <t>Structural Analysis-1</t>
  </si>
  <si>
    <t>Fall Y2</t>
  </si>
  <si>
    <t>Spring Y2</t>
  </si>
  <si>
    <t>Writing Skills</t>
  </si>
  <si>
    <t>Communication and Presentation Skills</t>
  </si>
  <si>
    <t xml:space="preserve">Linear Algebra &amp; Introduction to Machine Learning </t>
  </si>
  <si>
    <t>Differential Equations</t>
  </si>
  <si>
    <t xml:space="preserve">Introduction to Surveying </t>
  </si>
  <si>
    <t>Construction Project Management</t>
  </si>
  <si>
    <t xml:space="preserve">Civil Engineering Drafting </t>
  </si>
  <si>
    <t>Reinforced Concrete Design-1</t>
  </si>
  <si>
    <t>Engineering Materials-1</t>
  </si>
  <si>
    <t>Engineering Materials-2</t>
  </si>
  <si>
    <t>Structural Analysis-2</t>
  </si>
  <si>
    <t>Construction Engineering &amp; Methods</t>
  </si>
  <si>
    <t>Fall Y3</t>
  </si>
  <si>
    <t>Spring Y3</t>
  </si>
  <si>
    <t>Soil Mechanics</t>
  </si>
  <si>
    <t>Fundamentals of Hydraulic Engineering</t>
  </si>
  <si>
    <t>Reinforced Concrete Design-2</t>
  </si>
  <si>
    <t>Design &amp; Construction of Foundations</t>
  </si>
  <si>
    <t>Fluid Mechanics</t>
  </si>
  <si>
    <t>Structural Steel Design</t>
  </si>
  <si>
    <t>Quantity Surveying, Estimation and Specifications</t>
  </si>
  <si>
    <t xml:space="preserve">Introduction to Transportation &amp; Highway Engineering </t>
  </si>
  <si>
    <t>Civil Engineering Economics</t>
  </si>
  <si>
    <t>Construction Planning &amp; Scheduling</t>
  </si>
  <si>
    <t xml:space="preserve">Value &amp; Risk Management in Construction </t>
  </si>
  <si>
    <t xml:space="preserve">Contracts &amp; Commercial Management </t>
  </si>
  <si>
    <t>Fall Y4</t>
  </si>
  <si>
    <t>Spring Y4</t>
  </si>
  <si>
    <t>Computer Applications in Civil Engineering</t>
  </si>
  <si>
    <t xml:space="preserve">Principles of Management &amp; Human Resources  </t>
  </si>
  <si>
    <t>Numerical Methods</t>
  </si>
  <si>
    <t>Building Information Modeling</t>
  </si>
  <si>
    <t>Infrastructure Asset Management</t>
  </si>
  <si>
    <t xml:space="preserve">Strategic Management in Construction </t>
  </si>
  <si>
    <t>Real Estate &amp; Urban Planning Development</t>
  </si>
  <si>
    <t>Graduation Project II</t>
  </si>
  <si>
    <t>Graduation Project I</t>
  </si>
  <si>
    <t>CHM111</t>
  </si>
  <si>
    <t>Complex and Special Functions</t>
  </si>
  <si>
    <t>Structure Analysis-3</t>
  </si>
  <si>
    <t>Smart Cities and Intelligent Systems</t>
  </si>
  <si>
    <t>Python for Structural Programming</t>
  </si>
  <si>
    <t>Reinforced Concrete Design-3</t>
  </si>
  <si>
    <t xml:space="preserve">Smart Buildings and Materials </t>
  </si>
  <si>
    <t>Quality Control of Smart Materials</t>
  </si>
  <si>
    <t>--</t>
  </si>
  <si>
    <t>TOR %</t>
  </si>
  <si>
    <t>TOR CR</t>
  </si>
  <si>
    <t>Actual %</t>
  </si>
  <si>
    <t>EGL111</t>
  </si>
  <si>
    <t>EGL112</t>
  </si>
  <si>
    <t>22 (Min.)</t>
  </si>
  <si>
    <t>24 (Min.)</t>
  </si>
  <si>
    <t>50 (Min.)</t>
  </si>
  <si>
    <t>Elec</t>
  </si>
  <si>
    <t>Operation Research I</t>
  </si>
  <si>
    <t>Advanced Surveying and GIS</t>
  </si>
  <si>
    <t xml:space="preserve">Totals </t>
  </si>
  <si>
    <t>Repair and Strengthening of Buildings</t>
  </si>
  <si>
    <t>Practical Training-1</t>
  </si>
  <si>
    <t>Practical Training-2</t>
  </si>
  <si>
    <t xml:space="preserve">Introduction to Programming </t>
  </si>
  <si>
    <t>Engineering History Electives</t>
  </si>
  <si>
    <t>Major</t>
  </si>
  <si>
    <t>Program "Civil &amp; Construction Engineering - CCE"
Major-2 "Smart Structural Engineering" SSE
[7-Semesters Study Plan]</t>
  </si>
  <si>
    <t>Program "Civil &amp; Construction Engineering - CCE"
Major-2 "Smart Structural Engineering" SSE
[8-Semesters Study Plan]</t>
  </si>
  <si>
    <t>Program "Civil &amp; Construction Engineering - CCE"
Major-1 "Construction Engineering &amp; Management" CEM
[7-Semesters Study Plan]</t>
  </si>
  <si>
    <t>Program "Civil &amp; Construction Engineering - CCE"
Major-1 "Construction Engineering &amp; Management" CEM
[8-Semesters Study Plan]</t>
  </si>
  <si>
    <t xml:space="preserve">Program Requirements </t>
  </si>
  <si>
    <t>Computer and Information Skills</t>
  </si>
  <si>
    <t>Analytical Geometry and Calculus I</t>
  </si>
  <si>
    <t>EGL213</t>
  </si>
  <si>
    <t>EGL214</t>
  </si>
  <si>
    <t>CSC111</t>
  </si>
  <si>
    <t>Probability and Statistics</t>
  </si>
  <si>
    <t>ECE151</t>
  </si>
  <si>
    <t>Basic Sc.</t>
  </si>
  <si>
    <t>Major Electives</t>
  </si>
  <si>
    <t>Major Requirements (Specialization)</t>
  </si>
  <si>
    <t>Color Coding</t>
  </si>
  <si>
    <t>Electives</t>
  </si>
  <si>
    <t>Major Elective (1)</t>
  </si>
  <si>
    <t>Major Elective (2)</t>
  </si>
  <si>
    <t>Major Elective (3)</t>
  </si>
  <si>
    <t>Major Elective (4)</t>
  </si>
  <si>
    <t>Sustainable Development Electives</t>
  </si>
  <si>
    <t>Humanities and Social Sciences Electives</t>
  </si>
  <si>
    <t>Chemistry Principles</t>
  </si>
  <si>
    <t>Engineering Mechanics I - Statics</t>
  </si>
  <si>
    <t>Engineering Mechanics II - Dynamics</t>
  </si>
  <si>
    <t xml:space="preserve">Selected Topics in Entrepreneurship </t>
  </si>
  <si>
    <t>GIS in Smart Structures and Systems</t>
  </si>
  <si>
    <t>Hum. &amp; Social Sci.</t>
  </si>
  <si>
    <t>Math &amp; Basic Sci.</t>
  </si>
  <si>
    <t>Basic Eng. Sci.</t>
  </si>
  <si>
    <t>Project &amp; PT</t>
  </si>
  <si>
    <t xml:space="preserve">U1 </t>
  </si>
  <si>
    <t xml:space="preserve">U2 </t>
  </si>
  <si>
    <t xml:space="preserve">U3 </t>
  </si>
  <si>
    <t xml:space="preserve">U4 </t>
  </si>
  <si>
    <t xml:space="preserve">U5 </t>
  </si>
  <si>
    <t xml:space="preserve">U6 </t>
  </si>
  <si>
    <t xml:space="preserve">A1 </t>
  </si>
  <si>
    <t xml:space="preserve">A2 </t>
  </si>
  <si>
    <t xml:space="preserve">A3 </t>
  </si>
  <si>
    <t xml:space="preserve">A4 </t>
  </si>
  <si>
    <t xml:space="preserve">A5 </t>
  </si>
  <si>
    <t xml:space="preserve">A6 </t>
  </si>
  <si>
    <t xml:space="preserve">A7 </t>
  </si>
  <si>
    <t xml:space="preserve">A8 </t>
  </si>
  <si>
    <t xml:space="preserve">A9 </t>
  </si>
  <si>
    <t xml:space="preserve">A 10 </t>
  </si>
  <si>
    <t xml:space="preserve">B1 </t>
  </si>
  <si>
    <t xml:space="preserve">B2 </t>
  </si>
  <si>
    <t xml:space="preserve">B3 </t>
  </si>
  <si>
    <t xml:space="preserve">B4 </t>
  </si>
  <si>
    <t>X</t>
  </si>
  <si>
    <t>Introduction to Surveying</t>
  </si>
  <si>
    <t>Civil Engineering Drafting</t>
  </si>
  <si>
    <t xml:space="preserve">Structural Steel Design </t>
  </si>
  <si>
    <t xml:space="preserve">Engineering Materials-2 </t>
  </si>
  <si>
    <t>Construction Engineering and Methods</t>
  </si>
  <si>
    <t>Practical Training -1</t>
  </si>
  <si>
    <t>Practical Training -2</t>
  </si>
  <si>
    <t xml:space="preserve">Design and Construction of Foundations </t>
  </si>
  <si>
    <t>Introduction to Transportation and Highway Engineering</t>
  </si>
  <si>
    <t xml:space="preserve">Graduation Project II </t>
  </si>
  <si>
    <t>CHM 111</t>
  </si>
  <si>
    <t>Chemistry</t>
  </si>
  <si>
    <t>Construction Planning and Scheduling</t>
  </si>
  <si>
    <t>Value and Risk Management in Construction</t>
  </si>
  <si>
    <t xml:space="preserve">Contracts and Commercial Management </t>
  </si>
  <si>
    <t xml:space="preserve">Infrastructure Asset Management </t>
  </si>
  <si>
    <t>Strategic Management in Construction</t>
  </si>
  <si>
    <t>C1</t>
  </si>
  <si>
    <t>C2</t>
  </si>
  <si>
    <t>C3</t>
  </si>
  <si>
    <t>C4</t>
  </si>
  <si>
    <t>C5</t>
  </si>
  <si>
    <t>Computer applications in civil engineering</t>
  </si>
  <si>
    <t xml:space="preserve">Repair and Strengthening of Buildings  </t>
  </si>
  <si>
    <t xml:space="preserve">Principles of Management and Human Resources  </t>
  </si>
  <si>
    <t>Operational Research</t>
  </si>
  <si>
    <t>EGL 111</t>
  </si>
  <si>
    <t>EGL 112</t>
  </si>
  <si>
    <t>EGL 213</t>
  </si>
  <si>
    <t>EGL 214</t>
  </si>
  <si>
    <t>CSC 111</t>
  </si>
  <si>
    <t>HUM E1</t>
  </si>
  <si>
    <t>ECE 151</t>
  </si>
  <si>
    <t>Introduction to Programming</t>
  </si>
  <si>
    <t>Selected Topics in Entrepreneurship</t>
  </si>
  <si>
    <t>Probability &amp; Statistics for Engineers</t>
  </si>
  <si>
    <t>Linear Algebra &amp; Introduction to Machine Learning</t>
  </si>
  <si>
    <t>Engineering Mechanics I</t>
  </si>
  <si>
    <t>PHY 111</t>
  </si>
  <si>
    <t>Contracts and Commercial Management</t>
  </si>
  <si>
    <t xml:space="preserve">Practical Training-1 </t>
  </si>
  <si>
    <t xml:space="preserve">Practical Training-2 </t>
  </si>
  <si>
    <t xml:space="preserve">Quantity Surveying, Estimation and Specifications  </t>
  </si>
  <si>
    <t xml:space="preserve">Python for Structural Programming  </t>
  </si>
  <si>
    <t xml:space="preserve">Reinforced Concrete Design-3  </t>
  </si>
  <si>
    <t xml:space="preserve">Smart Buildings and Materials  </t>
  </si>
  <si>
    <t>Smart Buildings and Materials</t>
  </si>
  <si>
    <t xml:space="preserve">Smart Cities and Intelligent Systems  </t>
  </si>
  <si>
    <t xml:space="preserve">Quality Control of Smart Materials  </t>
  </si>
  <si>
    <t>Operational Research I</t>
  </si>
  <si>
    <t>الساعات المعتمدة (CH)</t>
  </si>
  <si>
    <t>النقاط المعتمدة (ECTS)</t>
  </si>
  <si>
    <t>عدد المقررات</t>
  </si>
  <si>
    <t>"+ 2 English"</t>
  </si>
  <si>
    <t>Univesity</t>
  </si>
  <si>
    <t>متطلبات الجامعة</t>
  </si>
  <si>
    <t>TOR Color codes</t>
  </si>
  <si>
    <t>School</t>
  </si>
  <si>
    <t>متطلبات الكلية</t>
  </si>
  <si>
    <t>Program - Gen</t>
  </si>
  <si>
    <t>Program - Spec</t>
  </si>
  <si>
    <t>Major 1 - CEM</t>
  </si>
  <si>
    <t>Major 2 - SSE</t>
  </si>
  <si>
    <t>Major 1 - CEM (CH/ECTS)</t>
  </si>
  <si>
    <t>Major 2 - SSE (CH/ECTS)</t>
  </si>
  <si>
    <t>Major 1 - CEM (ECTS)</t>
  </si>
  <si>
    <t>Major 2 - SSE (ECTS)</t>
  </si>
  <si>
    <t>العلوم الاجتماعية والانسانية</t>
  </si>
  <si>
    <t>إدارة الأعمال</t>
  </si>
  <si>
    <t>الرياضيات والعلوم الأساسية</t>
  </si>
  <si>
    <t>الثقافة الهندسية</t>
  </si>
  <si>
    <t>العلوم الهندسية الأساسية</t>
  </si>
  <si>
    <t>التطبيقات الهندسية والتصميم</t>
  </si>
  <si>
    <t>المشروعات والتدريب الميداني</t>
  </si>
  <si>
    <t>Hum-SC</t>
  </si>
  <si>
    <t>BA</t>
  </si>
  <si>
    <t>Math-BS</t>
  </si>
  <si>
    <t>Eng-Cult</t>
  </si>
  <si>
    <t>Eng-BS</t>
  </si>
  <si>
    <t>Eng-App</t>
  </si>
  <si>
    <t>Projects-PT</t>
  </si>
  <si>
    <t>متطلبات البرنامج</t>
  </si>
  <si>
    <t>متطلبات التخصص الرئيسي</t>
  </si>
  <si>
    <t>NARS Color Codes</t>
  </si>
  <si>
    <t>نسبة مقررات العلوم الاساسية</t>
  </si>
  <si>
    <t>نسبة المقررات الاختيارية</t>
  </si>
  <si>
    <t>محاضرات</t>
  </si>
  <si>
    <t>تمارين</t>
  </si>
  <si>
    <t>معمل</t>
  </si>
  <si>
    <t>الاجمالي</t>
  </si>
  <si>
    <t>Number of courses</t>
  </si>
  <si>
    <t>Major-1</t>
  </si>
  <si>
    <t>Major-2</t>
  </si>
  <si>
    <t>IND252</t>
  </si>
  <si>
    <t>IND 252</t>
  </si>
  <si>
    <t xml:space="preserve">Computer App. </t>
  </si>
  <si>
    <t xml:space="preserve">Applied Eng. Sci. </t>
  </si>
  <si>
    <t>Discretional</t>
  </si>
  <si>
    <t>LEVEL</t>
  </si>
  <si>
    <t>SEMESTER</t>
  </si>
  <si>
    <t>Title</t>
  </si>
  <si>
    <t>Com. Uni.</t>
  </si>
  <si>
    <t>Elec. Univ.</t>
  </si>
  <si>
    <t>Com. Discipline</t>
  </si>
  <si>
    <t xml:space="preserve">Major Req. </t>
  </si>
  <si>
    <t>Elec Major</t>
  </si>
  <si>
    <t>Com. College</t>
  </si>
  <si>
    <t>TOFEL&gt;500</t>
  </si>
  <si>
    <t>Prerequisites</t>
  </si>
  <si>
    <t>MTH111</t>
  </si>
  <si>
    <t>MTH112</t>
  </si>
  <si>
    <t>MTH113</t>
  </si>
  <si>
    <t>MTH214</t>
  </si>
  <si>
    <t>MTH215</t>
  </si>
  <si>
    <t>MTH216</t>
  </si>
  <si>
    <t>MTH313</t>
  </si>
  <si>
    <t>MTH111 (CO)</t>
  </si>
  <si>
    <t>MTH214 &amp; MTH215</t>
  </si>
  <si>
    <t>MEC111</t>
  </si>
  <si>
    <t>MEC112</t>
  </si>
  <si>
    <t>INT121</t>
  </si>
  <si>
    <t>INT E1</t>
  </si>
  <si>
    <t>INT E2</t>
  </si>
  <si>
    <t>EBS111</t>
  </si>
  <si>
    <t>CVL211</t>
  </si>
  <si>
    <t>CVL212</t>
  </si>
  <si>
    <t>CVL221</t>
  </si>
  <si>
    <t>CVL231</t>
  </si>
  <si>
    <t>CVL281</t>
  </si>
  <si>
    <t>CVL282</t>
  </si>
  <si>
    <t>CVL311</t>
  </si>
  <si>
    <t>CVL312</t>
  </si>
  <si>
    <t>CVL313</t>
  </si>
  <si>
    <t>CVL314</t>
  </si>
  <si>
    <t>CVL315</t>
  </si>
  <si>
    <t>CVL321</t>
  </si>
  <si>
    <t>CVL331</t>
  </si>
  <si>
    <t>CVL332</t>
  </si>
  <si>
    <t>CVL333</t>
  </si>
  <si>
    <t>CVL334</t>
  </si>
  <si>
    <t>CVL341</t>
  </si>
  <si>
    <t>CVL361</t>
  </si>
  <si>
    <t>CVL381</t>
  </si>
  <si>
    <t>CVL391</t>
  </si>
  <si>
    <t>CVL392</t>
  </si>
  <si>
    <t>CVL391 (CO)</t>
  </si>
  <si>
    <t>CVL411</t>
  </si>
  <si>
    <t>CVL412</t>
  </si>
  <si>
    <t>CVL413</t>
  </si>
  <si>
    <t>CVL421</t>
  </si>
  <si>
    <t>CVL422</t>
  </si>
  <si>
    <t>CVL431</t>
  </si>
  <si>
    <t>CVL432</t>
  </si>
  <si>
    <t>CVL433</t>
  </si>
  <si>
    <t>CVL434</t>
  </si>
  <si>
    <t>CVL435</t>
  </si>
  <si>
    <t>CVL436</t>
  </si>
  <si>
    <t>CVL437</t>
  </si>
  <si>
    <t>CVL441</t>
  </si>
  <si>
    <t>CVL451</t>
  </si>
  <si>
    <t>CVL461</t>
  </si>
  <si>
    <t>CVL462</t>
  </si>
  <si>
    <t>CVL481</t>
  </si>
  <si>
    <t>CVL493</t>
  </si>
  <si>
    <t>CVL494</t>
  </si>
  <si>
    <t>CVL493 (CO)</t>
  </si>
  <si>
    <t>CVL E1</t>
  </si>
  <si>
    <t>CVL E2</t>
  </si>
  <si>
    <t>CVL E3</t>
  </si>
  <si>
    <t>CVL E4</t>
  </si>
  <si>
    <t>CVL 211</t>
  </si>
  <si>
    <t>CVL 212</t>
  </si>
  <si>
    <t>CVL 221</t>
  </si>
  <si>
    <t>CVL 231</t>
  </si>
  <si>
    <t>CVL 281</t>
  </si>
  <si>
    <t>CVL 282</t>
  </si>
  <si>
    <t>CVL 311</t>
  </si>
  <si>
    <t>CVL 312</t>
  </si>
  <si>
    <t>CVL 314</t>
  </si>
  <si>
    <t>CVL 315</t>
  </si>
  <si>
    <t>CVL 321</t>
  </si>
  <si>
    <t>CVL 331</t>
  </si>
  <si>
    <t>CVL 341</t>
  </si>
  <si>
    <t>CVL 391</t>
  </si>
  <si>
    <t>CVL 392</t>
  </si>
  <si>
    <t>CVL 411</t>
  </si>
  <si>
    <t>CVL 441</t>
  </si>
  <si>
    <t>CVL 451</t>
  </si>
  <si>
    <t>CVL 493</t>
  </si>
  <si>
    <t>CVL 494</t>
  </si>
  <si>
    <t>CVL 332</t>
  </si>
  <si>
    <t>CVL 333</t>
  </si>
  <si>
    <t>CVL 334</t>
  </si>
  <si>
    <t>CVL 431</t>
  </si>
  <si>
    <t>CVL 432</t>
  </si>
  <si>
    <t>CVL 433</t>
  </si>
  <si>
    <t>CVL 434</t>
  </si>
  <si>
    <t>MTH 111</t>
  </si>
  <si>
    <t>MTH 113</t>
  </si>
  <si>
    <t>MTH 214</t>
  </si>
  <si>
    <t>MTH 112</t>
  </si>
  <si>
    <t>MTH 215</t>
  </si>
  <si>
    <t>MTH 216</t>
  </si>
  <si>
    <t>MEC 111</t>
  </si>
  <si>
    <t>MEC121</t>
  </si>
  <si>
    <t>EBS 111</t>
  </si>
  <si>
    <t>INT 121</t>
  </si>
  <si>
    <t>CVL 381</t>
  </si>
  <si>
    <t xml:space="preserve">CVL 413 </t>
  </si>
  <si>
    <t>CVL 422</t>
  </si>
  <si>
    <t>CVL 435</t>
  </si>
  <si>
    <t>CVL 436</t>
  </si>
  <si>
    <t>CVL 437</t>
  </si>
  <si>
    <t>CVL 462</t>
  </si>
  <si>
    <t>CVL 481</t>
  </si>
  <si>
    <t>CVL 313</t>
  </si>
  <si>
    <t>CVL 361</t>
  </si>
  <si>
    <t>CVL 412</t>
  </si>
  <si>
    <t>CVL 421</t>
  </si>
  <si>
    <t>CVL 461</t>
  </si>
  <si>
    <t>CVL 413</t>
  </si>
  <si>
    <t>List of Courses (courses code is CVL)
Program "Civil &amp; Construction Engineering - CCE"
Major-1 "Construction Engineering &amp; Management" CEM
Major-2 "Smart Structural Engineering" SSE</t>
  </si>
  <si>
    <t>Minor in "Construction Engineering" CE</t>
  </si>
  <si>
    <t>Pre-Req</t>
  </si>
  <si>
    <t>Name</t>
  </si>
  <si>
    <t>Semester</t>
  </si>
  <si>
    <t>Fall</t>
  </si>
  <si>
    <t>Fall/Spring</t>
  </si>
  <si>
    <t>Spring</t>
  </si>
  <si>
    <t>MTH E</t>
  </si>
  <si>
    <t xml:space="preserve">Major Math Elective </t>
  </si>
  <si>
    <t>Major Math Elective</t>
  </si>
  <si>
    <t>MTH 317</t>
  </si>
  <si>
    <t>Introduction to Mathematical Optimization</t>
  </si>
  <si>
    <t>MTH 318</t>
  </si>
  <si>
    <t>MTH 319</t>
  </si>
  <si>
    <t>Advanced Probability and Statstics</t>
  </si>
  <si>
    <t>Advanced Numerical Analysis</t>
  </si>
  <si>
    <t>MTH317</t>
  </si>
  <si>
    <t>MTH318</t>
  </si>
  <si>
    <t>MTH319</t>
  </si>
  <si>
    <t>Advanced Probability and Statistics</t>
  </si>
  <si>
    <t>MTH112 &amp; MTH113</t>
  </si>
  <si>
    <t>List</t>
  </si>
  <si>
    <t>List of CEM  
Major Electives</t>
  </si>
  <si>
    <t>List of CEM  
Math  Electives</t>
  </si>
  <si>
    <t>List of CEM 
Major Electives</t>
  </si>
  <si>
    <t>List of CEM 
 Math  Electives</t>
  </si>
  <si>
    <t>List of CE Electives</t>
  </si>
  <si>
    <t>List of SSE 
Major Electives</t>
  </si>
  <si>
    <t>List of Math  Electives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</si>
</sst>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4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1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b/>
      <sz val="11"/>
      <color theme="0" tint="-0.249977111117893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6"/>
      <color theme="0"/>
      <name val="Corbel Light"/>
      <family val="2"/>
    </font>
    <font>
      <sz val="11"/>
      <color theme="1"/>
      <name val="Calibri"/>
      <family val="2"/>
      <scheme val="minor"/>
    </font>
    <font>
      <sz val="10"/>
      <color theme="0" tint="-0.249977111117893"/>
      <name val="Calibri"/>
      <family val="2"/>
      <scheme val="minor"/>
    </font>
    <font>
      <b/>
      <sz val="10"/>
      <color theme="0" tint="-0.249977111117893"/>
      <name val="Calibri"/>
      <family val="2"/>
      <scheme val="minor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10"/>
      <color theme="1"/>
      <name val="Times New Roman"/>
      <family val="1"/>
    </font>
    <font>
      <sz val="10"/>
      <color rgb="FF000000"/>
      <name val="Times New Roman"/>
      <family val="1"/>
    </font>
    <font>
      <sz val="10"/>
      <color rgb="FF000000"/>
      <name val="Times"/>
      <family val="1"/>
    </font>
    <font>
      <sz val="10"/>
      <color theme="1"/>
      <name val="Times"/>
      <family val="1"/>
    </font>
    <font>
      <sz val="10"/>
      <color rgb="FFFFFFFF"/>
      <name val="Times"/>
      <family val="1"/>
    </font>
    <font>
      <b/>
      <sz val="10"/>
      <color rgb="FFFFFFFF"/>
      <name val="Times"/>
      <family val="1"/>
    </font>
    <font>
      <sz val="10"/>
      <name val="Times"/>
      <family val="1"/>
    </font>
    <font>
      <sz val="10"/>
      <color rgb="FFFF0000"/>
      <name val="Times"/>
      <family val="1"/>
    </font>
    <font>
      <b/>
      <sz val="10"/>
      <color rgb="FF000000"/>
      <name val="Arial"/>
      <family val="2"/>
    </font>
    <font>
      <sz val="11"/>
      <color theme="1"/>
      <name val="Calibri Light"/>
      <family val="2"/>
      <scheme val="major"/>
    </font>
    <font>
      <sz val="11"/>
      <color theme="1"/>
      <name val="Times"/>
      <family val="1"/>
    </font>
    <font>
      <b/>
      <sz val="12"/>
      <color theme="1"/>
      <name val="Times"/>
      <family val="1"/>
    </font>
    <font>
      <sz val="11"/>
      <color rgb="FFFF0000"/>
      <name val="Calibri"/>
      <family val="2"/>
      <scheme val="minor"/>
    </font>
    <font>
      <sz val="12"/>
      <color theme="1"/>
      <name val="Times"/>
      <family val="1"/>
    </font>
    <font>
      <sz val="12"/>
      <color rgb="FF000000"/>
      <name val="Times"/>
      <family val="1"/>
    </font>
    <font>
      <sz val="12"/>
      <color rgb="FFFFFFFF"/>
      <name val="Times"/>
      <family val="1"/>
    </font>
  </fonts>
  <fills count="28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8F8F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CCFFFF"/>
        <bgColor rgb="FF000000"/>
      </patternFill>
    </fill>
    <fill>
      <patternFill patternType="solid">
        <fgColor rgb="FF00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F4B084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B1FBF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00B0F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9" fontId="13" fillId="0" borderId="0" applyFont="0" applyFill="0" applyBorder="0" applyAlignment="0" applyProtection="0"/>
  </cellStyleXfs>
  <cellXfs count="314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0" fillId="0" borderId="1" xfId="0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4" fillId="5" borderId="1" xfId="0" applyFont="1" applyFill="1" applyBorder="1" applyAlignment="1">
      <alignment horizontal="center" vertical="center" wrapText="1"/>
    </xf>
    <xf numFmtId="1" fontId="0" fillId="5" borderId="1" xfId="0" applyNumberFormat="1" applyFill="1" applyBorder="1" applyAlignment="1">
      <alignment horizontal="center" vertical="center"/>
    </xf>
    <xf numFmtId="0" fontId="0" fillId="5" borderId="1" xfId="0" applyFill="1" applyBorder="1" applyAlignment="1">
      <alignment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/>
    <xf numFmtId="1" fontId="0" fillId="6" borderId="1" xfId="0" applyNumberFormat="1" applyFill="1" applyBorder="1" applyAlignment="1">
      <alignment horizontal="center" vertical="center"/>
    </xf>
    <xf numFmtId="1" fontId="0" fillId="0" borderId="0" xfId="0" applyNumberFormat="1"/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" fillId="3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1" fontId="5" fillId="0" borderId="0" xfId="0" applyNumberFormat="1" applyFont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8" fillId="0" borderId="0" xfId="0" applyFont="1" applyAlignment="1">
      <alignment horizontal="center"/>
    </xf>
    <xf numFmtId="0" fontId="8" fillId="0" borderId="0" xfId="0" applyFont="1"/>
    <xf numFmtId="0" fontId="11" fillId="2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1" fontId="8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/>
    </xf>
    <xf numFmtId="0" fontId="1" fillId="0" borderId="0" xfId="0" applyFont="1" applyAlignment="1">
      <alignment vertical="center" wrapText="1"/>
    </xf>
    <xf numFmtId="0" fontId="8" fillId="0" borderId="1" xfId="0" applyFont="1" applyBorder="1" applyAlignment="1">
      <alignment horizontal="center" vertical="center" wrapText="1"/>
    </xf>
    <xf numFmtId="9" fontId="0" fillId="0" borderId="1" xfId="1" applyFont="1" applyFill="1" applyBorder="1" applyAlignment="1">
      <alignment horizontal="center" vertical="center"/>
    </xf>
    <xf numFmtId="0" fontId="0" fillId="5" borderId="1" xfId="0" applyFill="1" applyBorder="1"/>
    <xf numFmtId="0" fontId="4" fillId="10" borderId="1" xfId="0" applyFont="1" applyFill="1" applyBorder="1" applyAlignment="1">
      <alignment horizontal="left" vertical="center"/>
    </xf>
    <xf numFmtId="0" fontId="0" fillId="6" borderId="1" xfId="0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 wrapText="1"/>
    </xf>
    <xf numFmtId="9" fontId="0" fillId="12" borderId="1" xfId="1" applyFont="1" applyFill="1" applyBorder="1" applyAlignment="1">
      <alignment horizontal="center" vertical="center" wrapText="1"/>
    </xf>
    <xf numFmtId="0" fontId="0" fillId="5" borderId="1" xfId="0" applyFill="1" applyBorder="1" applyAlignment="1">
      <alignment vertical="center" wrapText="1"/>
    </xf>
    <xf numFmtId="0" fontId="0" fillId="0" borderId="1" xfId="0" applyBorder="1"/>
    <xf numFmtId="0" fontId="0" fillId="4" borderId="1" xfId="0" applyFill="1" applyBorder="1" applyAlignment="1">
      <alignment vertical="center" wrapText="1"/>
    </xf>
    <xf numFmtId="0" fontId="0" fillId="4" borderId="1" xfId="0" applyFill="1" applyBorder="1" applyAlignment="1">
      <alignment horizontal="center" vertical="center" wrapText="1"/>
    </xf>
    <xf numFmtId="1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13" borderId="1" xfId="0" applyFill="1" applyBorder="1" applyAlignment="1">
      <alignment vertical="center" wrapText="1"/>
    </xf>
    <xf numFmtId="0" fontId="0" fillId="13" borderId="1" xfId="0" applyFill="1" applyBorder="1" applyAlignment="1">
      <alignment horizontal="center" vertical="center" wrapText="1"/>
    </xf>
    <xf numFmtId="0" fontId="0" fillId="14" borderId="1" xfId="0" applyFill="1" applyBorder="1" applyAlignment="1">
      <alignment vertical="center" wrapText="1"/>
    </xf>
    <xf numFmtId="0" fontId="0" fillId="14" borderId="1" xfId="0" applyFill="1" applyBorder="1" applyAlignment="1">
      <alignment horizontal="center" vertical="center" wrapText="1"/>
    </xf>
    <xf numFmtId="9" fontId="0" fillId="13" borderId="1" xfId="1" applyFont="1" applyFill="1" applyBorder="1" applyAlignment="1">
      <alignment horizontal="center" vertical="center"/>
    </xf>
    <xf numFmtId="9" fontId="0" fillId="4" borderId="1" xfId="1" applyFont="1" applyFill="1" applyBorder="1" applyAlignment="1">
      <alignment horizontal="center" vertical="center"/>
    </xf>
    <xf numFmtId="9" fontId="0" fillId="5" borderId="1" xfId="1" applyFont="1" applyFill="1" applyBorder="1" applyAlignment="1">
      <alignment horizontal="center" vertical="center"/>
    </xf>
    <xf numFmtId="1" fontId="0" fillId="5" borderId="1" xfId="0" quotePrefix="1" applyNumberFormat="1" applyFill="1" applyBorder="1" applyAlignment="1">
      <alignment horizontal="center" vertical="center"/>
    </xf>
    <xf numFmtId="0" fontId="0" fillId="6" borderId="1" xfId="0" quotePrefix="1" applyFill="1" applyBorder="1" applyAlignment="1">
      <alignment horizontal="center" vertical="center"/>
    </xf>
    <xf numFmtId="0" fontId="0" fillId="13" borderId="1" xfId="0" applyFill="1" applyBorder="1"/>
    <xf numFmtId="0" fontId="0" fillId="13" borderId="1" xfId="0" applyFill="1" applyBorder="1" applyAlignment="1">
      <alignment horizontal="center" vertical="center"/>
    </xf>
    <xf numFmtId="0" fontId="0" fillId="13" borderId="1" xfId="0" applyFill="1" applyBorder="1" applyAlignment="1">
      <alignment horizontal="center"/>
    </xf>
    <xf numFmtId="0" fontId="0" fillId="14" borderId="1" xfId="0" applyFill="1" applyBorder="1"/>
    <xf numFmtId="0" fontId="0" fillId="14" borderId="1" xfId="0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0" fillId="13" borderId="1" xfId="0" quotePrefix="1" applyFill="1" applyBorder="1" applyAlignment="1">
      <alignment horizontal="center" vertical="center"/>
    </xf>
    <xf numFmtId="1" fontId="0" fillId="13" borderId="1" xfId="0" applyNumberFormat="1" applyFill="1" applyBorder="1" applyAlignment="1">
      <alignment horizontal="center" vertical="center"/>
    </xf>
    <xf numFmtId="0" fontId="0" fillId="13" borderId="1" xfId="0" quotePrefix="1" applyFill="1" applyBorder="1" applyAlignment="1">
      <alignment horizontal="center"/>
    </xf>
    <xf numFmtId="1" fontId="0" fillId="13" borderId="1" xfId="0" applyNumberFormat="1" applyFill="1" applyBorder="1" applyAlignment="1">
      <alignment horizontal="center"/>
    </xf>
    <xf numFmtId="0" fontId="0" fillId="13" borderId="1" xfId="0" applyFill="1" applyBorder="1" applyAlignment="1">
      <alignment wrapText="1"/>
    </xf>
    <xf numFmtId="0" fontId="0" fillId="14" borderId="1" xfId="0" applyFill="1" applyBorder="1" applyAlignment="1">
      <alignment horizontal="center"/>
    </xf>
    <xf numFmtId="1" fontId="0" fillId="14" borderId="1" xfId="0" applyNumberFormat="1" applyFill="1" applyBorder="1" applyAlignment="1">
      <alignment horizontal="center"/>
    </xf>
    <xf numFmtId="1" fontId="0" fillId="14" borderId="1" xfId="0" applyNumberFormat="1" applyFill="1" applyBorder="1" applyAlignment="1">
      <alignment horizontal="center" vertical="center"/>
    </xf>
    <xf numFmtId="0" fontId="0" fillId="14" borderId="1" xfId="0" quotePrefix="1" applyFill="1" applyBorder="1" applyAlignment="1">
      <alignment horizontal="center"/>
    </xf>
    <xf numFmtId="0" fontId="7" fillId="11" borderId="1" xfId="0" applyFont="1" applyFill="1" applyBorder="1" applyAlignment="1">
      <alignment vertical="center" wrapText="1"/>
    </xf>
    <xf numFmtId="0" fontId="7" fillId="11" borderId="1" xfId="0" applyFont="1" applyFill="1" applyBorder="1" applyAlignment="1">
      <alignment horizontal="center" wrapText="1"/>
    </xf>
    <xf numFmtId="9" fontId="7" fillId="11" borderId="1" xfId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9" fontId="0" fillId="14" borderId="1" xfId="1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7" fillId="14" borderId="1" xfId="0" applyFont="1" applyFill="1" applyBorder="1" applyAlignment="1">
      <alignment horizontal="center" vertical="center" wrapText="1"/>
    </xf>
    <xf numFmtId="0" fontId="7" fillId="11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3" fillId="0" borderId="0" xfId="0" applyFont="1" applyAlignment="1">
      <alignment vertical="center" textRotation="90"/>
    </xf>
    <xf numFmtId="0" fontId="0" fillId="0" borderId="0" xfId="0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/>
    </xf>
    <xf numFmtId="0" fontId="8" fillId="13" borderId="1" xfId="0" applyFont="1" applyFill="1" applyBorder="1" applyAlignment="1">
      <alignment horizontal="center" vertical="center"/>
    </xf>
    <xf numFmtId="0" fontId="8" fillId="14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12" fillId="0" borderId="0" xfId="0" applyFont="1" applyAlignment="1">
      <alignment vertical="center" wrapText="1"/>
    </xf>
    <xf numFmtId="0" fontId="7" fillId="8" borderId="1" xfId="0" applyFont="1" applyFill="1" applyBorder="1" applyAlignment="1">
      <alignment horizontal="center" vertical="center"/>
    </xf>
    <xf numFmtId="0" fontId="5" fillId="0" borderId="0" xfId="0" applyFont="1"/>
    <xf numFmtId="0" fontId="0" fillId="6" borderId="1" xfId="0" applyFill="1" applyBorder="1" applyAlignment="1">
      <alignment horizontal="left" vertical="center"/>
    </xf>
    <xf numFmtId="0" fontId="0" fillId="4" borderId="1" xfId="0" applyFill="1" applyBorder="1" applyAlignment="1">
      <alignment vertical="center"/>
    </xf>
    <xf numFmtId="0" fontId="0" fillId="13" borderId="1" xfId="0" applyFill="1" applyBorder="1" applyAlignment="1">
      <alignment vertical="center"/>
    </xf>
    <xf numFmtId="0" fontId="0" fillId="14" borderId="1" xfId="0" applyFill="1" applyBorder="1" applyAlignment="1">
      <alignment vertical="center"/>
    </xf>
    <xf numFmtId="0" fontId="7" fillId="11" borderId="1" xfId="0" applyFont="1" applyFill="1" applyBorder="1" applyAlignment="1">
      <alignment vertical="center"/>
    </xf>
    <xf numFmtId="0" fontId="0" fillId="6" borderId="1" xfId="0" applyFill="1" applyBorder="1" applyAlignment="1">
      <alignment horizontal="center"/>
    </xf>
    <xf numFmtId="0" fontId="0" fillId="0" borderId="0" xfId="0" applyAlignment="1">
      <alignment vertical="center" wrapText="1"/>
    </xf>
    <xf numFmtId="1" fontId="5" fillId="0" borderId="4" xfId="0" applyNumberFormat="1" applyFont="1" applyBorder="1" applyAlignment="1">
      <alignment horizontal="center" vertical="center"/>
    </xf>
    <xf numFmtId="1" fontId="9" fillId="0" borderId="1" xfId="0" applyNumberFormat="1" applyFont="1" applyBorder="1" applyAlignment="1">
      <alignment horizontal="center" vertical="center"/>
    </xf>
    <xf numFmtId="1" fontId="9" fillId="0" borderId="4" xfId="0" applyNumberFormat="1" applyFont="1" applyBorder="1" applyAlignment="1">
      <alignment horizontal="center" vertical="center"/>
    </xf>
    <xf numFmtId="1" fontId="8" fillId="0" borderId="0" xfId="0" applyNumberFormat="1" applyFont="1" applyAlignment="1">
      <alignment horizontal="center" vertical="center"/>
    </xf>
    <xf numFmtId="0" fontId="7" fillId="13" borderId="1" xfId="0" applyFont="1" applyFill="1" applyBorder="1" applyAlignment="1">
      <alignment horizontal="center" vertical="center"/>
    </xf>
    <xf numFmtId="1" fontId="0" fillId="11" borderId="1" xfId="0" applyNumberFormat="1" applyFill="1" applyBorder="1" applyAlignment="1">
      <alignment horizontal="center" vertical="center"/>
    </xf>
    <xf numFmtId="1" fontId="7" fillId="14" borderId="1" xfId="0" applyNumberFormat="1" applyFont="1" applyFill="1" applyBorder="1" applyAlignment="1">
      <alignment horizontal="center"/>
    </xf>
    <xf numFmtId="0" fontId="7" fillId="11" borderId="1" xfId="0" applyFont="1" applyFill="1" applyBorder="1" applyAlignment="1">
      <alignment horizontal="center"/>
    </xf>
    <xf numFmtId="0" fontId="7" fillId="14" borderId="1" xfId="0" applyFont="1" applyFill="1" applyBorder="1" applyAlignment="1">
      <alignment horizontal="center"/>
    </xf>
    <xf numFmtId="0" fontId="7" fillId="14" borderId="1" xfId="0" applyFont="1" applyFill="1" applyBorder="1"/>
    <xf numFmtId="1" fontId="7" fillId="14" borderId="1" xfId="0" applyNumberFormat="1" applyFont="1" applyFill="1" applyBorder="1" applyAlignment="1">
      <alignment horizontal="center" vertical="center"/>
    </xf>
    <xf numFmtId="0" fontId="7" fillId="14" borderId="1" xfId="0" applyFont="1" applyFill="1" applyBorder="1" applyAlignment="1">
      <alignment horizontal="left"/>
    </xf>
    <xf numFmtId="0" fontId="7" fillId="14" borderId="1" xfId="0" quotePrefix="1" applyFont="1" applyFill="1" applyBorder="1" applyAlignment="1">
      <alignment horizontal="center"/>
    </xf>
    <xf numFmtId="0" fontId="7" fillId="13" borderId="1" xfId="0" applyFont="1" applyFill="1" applyBorder="1"/>
    <xf numFmtId="1" fontId="7" fillId="13" borderId="1" xfId="0" applyNumberFormat="1" applyFont="1" applyFill="1" applyBorder="1" applyAlignment="1">
      <alignment horizontal="center"/>
    </xf>
    <xf numFmtId="0" fontId="7" fillId="13" borderId="1" xfId="0" applyFont="1" applyFill="1" applyBorder="1" applyAlignment="1">
      <alignment horizontal="center"/>
    </xf>
    <xf numFmtId="1" fontId="7" fillId="13" borderId="1" xfId="0" applyNumberFormat="1" applyFont="1" applyFill="1" applyBorder="1" applyAlignment="1">
      <alignment horizontal="center" vertical="center"/>
    </xf>
    <xf numFmtId="0" fontId="7" fillId="13" borderId="1" xfId="0" quotePrefix="1" applyFont="1" applyFill="1" applyBorder="1" applyAlignment="1">
      <alignment horizontal="center"/>
    </xf>
    <xf numFmtId="1" fontId="7" fillId="11" borderId="1" xfId="0" applyNumberFormat="1" applyFont="1" applyFill="1" applyBorder="1" applyAlignment="1">
      <alignment horizontal="center"/>
    </xf>
    <xf numFmtId="0" fontId="7" fillId="11" borderId="1" xfId="0" applyFont="1" applyFill="1" applyBorder="1" applyAlignment="1">
      <alignment horizontal="center" vertical="center"/>
    </xf>
    <xf numFmtId="0" fontId="14" fillId="0" borderId="0" xfId="0" applyFont="1" applyAlignment="1">
      <alignment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5" borderId="1" xfId="0" applyFont="1" applyFill="1" applyBorder="1" applyAlignment="1">
      <alignment vertical="center" wrapText="1"/>
    </xf>
    <xf numFmtId="0" fontId="8" fillId="5" borderId="1" xfId="0" applyFont="1" applyFill="1" applyBorder="1" applyAlignment="1">
      <alignment horizontal="center" vertical="center" wrapText="1"/>
    </xf>
    <xf numFmtId="9" fontId="8" fillId="5" borderId="1" xfId="1" applyFont="1" applyFill="1" applyBorder="1" applyAlignment="1">
      <alignment horizontal="center" vertical="center"/>
    </xf>
    <xf numFmtId="164" fontId="8" fillId="5" borderId="1" xfId="1" applyNumberFormat="1" applyFont="1" applyFill="1" applyBorder="1" applyAlignment="1">
      <alignment horizontal="center"/>
    </xf>
    <xf numFmtId="0" fontId="8" fillId="6" borderId="1" xfId="0" applyFont="1" applyFill="1" applyBorder="1" applyAlignment="1">
      <alignment horizontal="left" vertical="center"/>
    </xf>
    <xf numFmtId="0" fontId="8" fillId="12" borderId="1" xfId="0" applyFont="1" applyFill="1" applyBorder="1" applyAlignment="1">
      <alignment horizontal="center" vertical="center" wrapText="1"/>
    </xf>
    <xf numFmtId="9" fontId="8" fillId="12" borderId="1" xfId="1" applyFont="1" applyFill="1" applyBorder="1" applyAlignment="1">
      <alignment horizontal="center" vertical="center" wrapText="1"/>
    </xf>
    <xf numFmtId="164" fontId="8" fillId="12" borderId="1" xfId="1" applyNumberFormat="1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vertical="center" wrapText="1"/>
    </xf>
    <xf numFmtId="0" fontId="8" fillId="4" borderId="1" xfId="0" applyFont="1" applyFill="1" applyBorder="1" applyAlignment="1">
      <alignment horizontal="center" vertical="center" wrapText="1"/>
    </xf>
    <xf numFmtId="9" fontId="8" fillId="4" borderId="1" xfId="1" applyFont="1" applyFill="1" applyBorder="1" applyAlignment="1">
      <alignment horizontal="center" vertical="center"/>
    </xf>
    <xf numFmtId="164" fontId="8" fillId="4" borderId="1" xfId="1" applyNumberFormat="1" applyFont="1" applyFill="1" applyBorder="1" applyAlignment="1">
      <alignment horizontal="center" vertical="center"/>
    </xf>
    <xf numFmtId="0" fontId="8" fillId="13" borderId="1" xfId="0" applyFont="1" applyFill="1" applyBorder="1" applyAlignment="1">
      <alignment vertical="center" wrapText="1"/>
    </xf>
    <xf numFmtId="0" fontId="8" fillId="13" borderId="1" xfId="0" applyFont="1" applyFill="1" applyBorder="1" applyAlignment="1">
      <alignment horizontal="center" vertical="center" wrapText="1"/>
    </xf>
    <xf numFmtId="9" fontId="8" fillId="13" borderId="1" xfId="1" applyFont="1" applyFill="1" applyBorder="1" applyAlignment="1">
      <alignment horizontal="center" vertical="center"/>
    </xf>
    <xf numFmtId="164" fontId="8" fillId="13" borderId="1" xfId="1" applyNumberFormat="1" applyFont="1" applyFill="1" applyBorder="1" applyAlignment="1">
      <alignment horizontal="center" vertical="center"/>
    </xf>
    <xf numFmtId="0" fontId="8" fillId="14" borderId="1" xfId="0" applyFont="1" applyFill="1" applyBorder="1" applyAlignment="1">
      <alignment vertical="center" wrapText="1"/>
    </xf>
    <xf numFmtId="0" fontId="8" fillId="14" borderId="1" xfId="0" applyFont="1" applyFill="1" applyBorder="1" applyAlignment="1">
      <alignment horizontal="center" vertical="center" wrapText="1"/>
    </xf>
    <xf numFmtId="9" fontId="8" fillId="14" borderId="1" xfId="1" applyFont="1" applyFill="1" applyBorder="1" applyAlignment="1">
      <alignment horizontal="center" vertical="center" wrapText="1"/>
    </xf>
    <xf numFmtId="164" fontId="8" fillId="14" borderId="1" xfId="1" applyNumberFormat="1" applyFont="1" applyFill="1" applyBorder="1" applyAlignment="1">
      <alignment horizontal="center" vertical="center" wrapText="1"/>
    </xf>
    <xf numFmtId="0" fontId="8" fillId="11" borderId="1" xfId="0" applyFont="1" applyFill="1" applyBorder="1" applyAlignment="1">
      <alignment vertical="center" wrapText="1"/>
    </xf>
    <xf numFmtId="0" fontId="8" fillId="11" borderId="1" xfId="0" applyFont="1" applyFill="1" applyBorder="1" applyAlignment="1">
      <alignment horizontal="center" wrapText="1"/>
    </xf>
    <xf numFmtId="0" fontId="8" fillId="11" borderId="1" xfId="0" applyFont="1" applyFill="1" applyBorder="1" applyAlignment="1">
      <alignment horizontal="center" vertical="center" wrapText="1"/>
    </xf>
    <xf numFmtId="9" fontId="8" fillId="11" borderId="1" xfId="1" applyFont="1" applyFill="1" applyBorder="1" applyAlignment="1">
      <alignment horizontal="center" vertical="center" wrapText="1"/>
    </xf>
    <xf numFmtId="164" fontId="8" fillId="11" borderId="1" xfId="1" applyNumberFormat="1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9" fontId="8" fillId="0" borderId="1" xfId="1" applyFont="1" applyFill="1" applyBorder="1" applyAlignment="1">
      <alignment horizontal="center" vertical="center"/>
    </xf>
    <xf numFmtId="0" fontId="8" fillId="0" borderId="1" xfId="0" applyFont="1" applyBorder="1"/>
    <xf numFmtId="0" fontId="14" fillId="3" borderId="1" xfId="0" applyFont="1" applyFill="1" applyBorder="1" applyAlignment="1">
      <alignment horizontal="center" vertical="center" wrapText="1"/>
    </xf>
    <xf numFmtId="0" fontId="17" fillId="17" borderId="0" xfId="0" applyFont="1" applyFill="1" applyAlignment="1">
      <alignment horizontal="center" vertical="center" wrapText="1"/>
    </xf>
    <xf numFmtId="0" fontId="17" fillId="5" borderId="0" xfId="0" applyFont="1" applyFill="1" applyAlignment="1">
      <alignment horizontal="center" vertical="center" wrapText="1"/>
    </xf>
    <xf numFmtId="1" fontId="5" fillId="7" borderId="1" xfId="0" applyNumberFormat="1" applyFont="1" applyFill="1" applyBorder="1" applyAlignment="1">
      <alignment horizontal="center" vertical="center"/>
    </xf>
    <xf numFmtId="0" fontId="19" fillId="16" borderId="0" xfId="0" applyFont="1" applyFill="1" applyAlignment="1">
      <alignment vertical="center"/>
    </xf>
    <xf numFmtId="0" fontId="19" fillId="17" borderId="0" xfId="0" applyFont="1" applyFill="1" applyAlignment="1">
      <alignment vertical="center" wrapText="1"/>
    </xf>
    <xf numFmtId="0" fontId="19" fillId="11" borderId="0" xfId="0" applyFont="1" applyFill="1" applyAlignment="1">
      <alignment vertical="center" wrapText="1"/>
    </xf>
    <xf numFmtId="0" fontId="20" fillId="16" borderId="0" xfId="0" applyFont="1" applyFill="1" applyAlignment="1">
      <alignment vertical="center"/>
    </xf>
    <xf numFmtId="0" fontId="20" fillId="17" borderId="0" xfId="0" applyFont="1" applyFill="1" applyAlignment="1">
      <alignment vertical="center" wrapText="1"/>
    </xf>
    <xf numFmtId="0" fontId="20" fillId="11" borderId="0" xfId="0" applyFont="1" applyFill="1" applyAlignment="1">
      <alignment vertical="center" wrapText="1"/>
    </xf>
    <xf numFmtId="0" fontId="20" fillId="17" borderId="0" xfId="0" applyFont="1" applyFill="1" applyAlignment="1">
      <alignment horizontal="center" vertical="center" wrapText="1"/>
    </xf>
    <xf numFmtId="0" fontId="21" fillId="0" borderId="0" xfId="0" applyFont="1"/>
    <xf numFmtId="0" fontId="21" fillId="0" borderId="0" xfId="0" applyFont="1" applyAlignment="1">
      <alignment horizontal="center"/>
    </xf>
    <xf numFmtId="0" fontId="23" fillId="0" borderId="0" xfId="0" applyFont="1" applyAlignment="1">
      <alignment vertical="center" wrapText="1"/>
    </xf>
    <xf numFmtId="0" fontId="21" fillId="5" borderId="1" xfId="0" applyFont="1" applyFill="1" applyBorder="1" applyAlignment="1">
      <alignment vertical="center"/>
    </xf>
    <xf numFmtId="0" fontId="23" fillId="18" borderId="1" xfId="0" applyFont="1" applyFill="1" applyBorder="1" applyAlignment="1">
      <alignment horizontal="center" vertical="center" wrapText="1"/>
    </xf>
    <xf numFmtId="0" fontId="21" fillId="6" borderId="1" xfId="0" applyFont="1" applyFill="1" applyBorder="1" applyAlignment="1">
      <alignment horizontal="left" vertical="center"/>
    </xf>
    <xf numFmtId="0" fontId="20" fillId="16" borderId="0" xfId="0" applyFont="1" applyFill="1" applyAlignment="1">
      <alignment horizontal="center" vertical="center"/>
    </xf>
    <xf numFmtId="0" fontId="21" fillId="4" borderId="1" xfId="0" applyFont="1" applyFill="1" applyBorder="1" applyAlignment="1">
      <alignment vertical="center"/>
    </xf>
    <xf numFmtId="0" fontId="21" fillId="13" borderId="1" xfId="0" applyFont="1" applyFill="1" applyBorder="1" applyAlignment="1">
      <alignment vertical="center"/>
    </xf>
    <xf numFmtId="0" fontId="21" fillId="14" borderId="1" xfId="0" applyFont="1" applyFill="1" applyBorder="1" applyAlignment="1">
      <alignment vertical="center"/>
    </xf>
    <xf numFmtId="0" fontId="24" fillId="11" borderId="1" xfId="0" applyFont="1" applyFill="1" applyBorder="1" applyAlignment="1">
      <alignment vertical="center"/>
    </xf>
    <xf numFmtId="0" fontId="21" fillId="0" borderId="0" xfId="0" applyFont="1" applyAlignment="1">
      <alignment vertical="center"/>
    </xf>
    <xf numFmtId="0" fontId="21" fillId="17" borderId="0" xfId="0" applyFont="1" applyFill="1" applyAlignment="1">
      <alignment horizontal="center" vertical="center" wrapText="1"/>
    </xf>
    <xf numFmtId="0" fontId="21" fillId="11" borderId="0" xfId="0" applyFont="1" applyFill="1" applyAlignment="1">
      <alignment horizontal="center" vertical="center" wrapText="1"/>
    </xf>
    <xf numFmtId="0" fontId="20" fillId="11" borderId="0" xfId="0" applyFont="1" applyFill="1" applyAlignment="1">
      <alignment horizontal="center" vertical="center" wrapText="1"/>
    </xf>
    <xf numFmtId="0" fontId="25" fillId="11" borderId="0" xfId="0" applyFont="1" applyFill="1" applyAlignment="1">
      <alignment horizontal="center" vertical="center" wrapText="1"/>
    </xf>
    <xf numFmtId="164" fontId="21" fillId="0" borderId="0" xfId="1" applyNumberFormat="1" applyFont="1" applyAlignment="1">
      <alignment horizontal="center"/>
    </xf>
    <xf numFmtId="0" fontId="21" fillId="0" borderId="0" xfId="0" applyFont="1" applyAlignment="1">
      <alignment vertical="center" wrapText="1"/>
    </xf>
    <xf numFmtId="0" fontId="20" fillId="0" borderId="0" xfId="0" applyFont="1" applyAlignment="1">
      <alignment horizontal="center" vertical="center" wrapText="1"/>
    </xf>
    <xf numFmtId="0" fontId="21" fillId="0" borderId="0" xfId="0" applyFont="1" applyAlignment="1">
      <alignment horizontal="center" vertical="center" wrapText="1"/>
    </xf>
    <xf numFmtId="0" fontId="21" fillId="0" borderId="0" xfId="0" applyFont="1" applyAlignment="1">
      <alignment horizontal="left" vertical="center"/>
    </xf>
    <xf numFmtId="0" fontId="24" fillId="0" borderId="0" xfId="0" applyFont="1" applyAlignment="1">
      <alignment vertical="center"/>
    </xf>
    <xf numFmtId="0" fontId="19" fillId="5" borderId="0" xfId="0" applyFont="1" applyFill="1" applyAlignment="1">
      <alignment vertical="center"/>
    </xf>
    <xf numFmtId="0" fontId="19" fillId="5" borderId="0" xfId="0" applyFont="1" applyFill="1" applyAlignment="1">
      <alignment horizontal="center" vertical="center"/>
    </xf>
    <xf numFmtId="0" fontId="19" fillId="15" borderId="0" xfId="0" applyFont="1" applyFill="1" applyAlignment="1">
      <alignment vertical="center"/>
    </xf>
    <xf numFmtId="0" fontId="19" fillId="15" borderId="0" xfId="0" applyFont="1" applyFill="1" applyAlignment="1">
      <alignment horizontal="center" vertical="center"/>
    </xf>
    <xf numFmtId="0" fontId="19" fillId="16" borderId="0" xfId="0" applyFont="1" applyFill="1" applyAlignment="1">
      <alignment horizontal="center" vertical="center"/>
    </xf>
    <xf numFmtId="0" fontId="19" fillId="17" borderId="0" xfId="0" applyFont="1" applyFill="1" applyAlignment="1">
      <alignment vertical="center"/>
    </xf>
    <xf numFmtId="0" fontId="19" fillId="17" borderId="0" xfId="0" applyFont="1" applyFill="1" applyAlignment="1">
      <alignment horizontal="center" vertical="center"/>
    </xf>
    <xf numFmtId="0" fontId="23" fillId="18" borderId="1" xfId="0" applyFont="1" applyFill="1" applyBorder="1" applyAlignment="1">
      <alignment horizontal="center" vertical="center"/>
    </xf>
    <xf numFmtId="0" fontId="23" fillId="18" borderId="4" xfId="0" applyFont="1" applyFill="1" applyBorder="1" applyAlignment="1">
      <alignment vertical="center"/>
    </xf>
    <xf numFmtId="0" fontId="16" fillId="15" borderId="0" xfId="0" applyFont="1" applyFill="1" applyAlignment="1">
      <alignment vertical="center"/>
    </xf>
    <xf numFmtId="0" fontId="17" fillId="15" borderId="0" xfId="0" applyFont="1" applyFill="1" applyAlignment="1">
      <alignment vertical="center"/>
    </xf>
    <xf numFmtId="0" fontId="17" fillId="15" borderId="0" xfId="0" applyFont="1" applyFill="1" applyAlignment="1">
      <alignment horizontal="center" vertical="center"/>
    </xf>
    <xf numFmtId="0" fontId="17" fillId="16" borderId="0" xfId="0" applyFont="1" applyFill="1" applyAlignment="1">
      <alignment vertical="center"/>
    </xf>
    <xf numFmtId="0" fontId="17" fillId="16" borderId="0" xfId="0" applyFont="1" applyFill="1" applyAlignment="1">
      <alignment horizontal="center" vertical="center"/>
    </xf>
    <xf numFmtId="0" fontId="17" fillId="17" borderId="0" xfId="0" applyFont="1" applyFill="1" applyAlignment="1">
      <alignment vertical="center"/>
    </xf>
    <xf numFmtId="0" fontId="17" fillId="17" borderId="0" xfId="0" applyFont="1" applyFill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6" fillId="17" borderId="0" xfId="0" applyFont="1" applyFill="1" applyAlignment="1">
      <alignment horizontal="center" vertical="center" wrapText="1"/>
    </xf>
    <xf numFmtId="0" fontId="16" fillId="11" borderId="0" xfId="0" applyFont="1" applyFill="1" applyAlignment="1">
      <alignment horizontal="center" vertical="center" wrapText="1"/>
    </xf>
    <xf numFmtId="0" fontId="17" fillId="11" borderId="0" xfId="0" applyFont="1" applyFill="1" applyAlignment="1">
      <alignment horizontal="center" vertical="center" wrapText="1"/>
    </xf>
    <xf numFmtId="0" fontId="26" fillId="19" borderId="1" xfId="0" applyFont="1" applyFill="1" applyBorder="1" applyAlignment="1">
      <alignment horizontal="center" vertical="center" wrapText="1"/>
    </xf>
    <xf numFmtId="0" fontId="17" fillId="20" borderId="1" xfId="0" applyFont="1" applyFill="1" applyBorder="1" applyAlignment="1">
      <alignment horizontal="center" vertical="center" wrapText="1"/>
    </xf>
    <xf numFmtId="0" fontId="26" fillId="19" borderId="1" xfId="0" applyFont="1" applyFill="1" applyBorder="1" applyAlignment="1">
      <alignment horizontal="center" vertical="center" wrapText="1" readingOrder="2"/>
    </xf>
    <xf numFmtId="0" fontId="0" fillId="0" borderId="0" xfId="0" applyAlignment="1">
      <alignment horizontal="left" vertical="center"/>
    </xf>
    <xf numFmtId="0" fontId="7" fillId="0" borderId="0" xfId="0" applyFont="1" applyAlignment="1">
      <alignment vertical="center"/>
    </xf>
    <xf numFmtId="0" fontId="26" fillId="0" borderId="0" xfId="0" applyFont="1" applyAlignment="1">
      <alignment horizontal="center" vertical="center" wrapText="1" readingOrder="2"/>
    </xf>
    <xf numFmtId="0" fontId="18" fillId="19" borderId="5" xfId="0" applyFont="1" applyFill="1" applyBorder="1" applyAlignment="1">
      <alignment horizontal="center" vertical="center" wrapText="1"/>
    </xf>
    <xf numFmtId="0" fontId="18" fillId="0" borderId="0" xfId="0" applyFont="1" applyAlignment="1">
      <alignment horizontal="left" vertical="center"/>
    </xf>
    <xf numFmtId="0" fontId="26" fillId="19" borderId="5" xfId="0" applyFont="1" applyFill="1" applyBorder="1" applyAlignment="1">
      <alignment horizontal="left" vertical="center" wrapText="1" readingOrder="2"/>
    </xf>
    <xf numFmtId="9" fontId="17" fillId="20" borderId="1" xfId="0" applyNumberFormat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9" fontId="26" fillId="20" borderId="1" xfId="0" applyNumberFormat="1" applyFont="1" applyFill="1" applyBorder="1" applyAlignment="1">
      <alignment horizontal="center" vertical="center" wrapText="1"/>
    </xf>
    <xf numFmtId="1" fontId="17" fillId="20" borderId="1" xfId="0" applyNumberFormat="1" applyFont="1" applyFill="1" applyBorder="1" applyAlignment="1">
      <alignment horizontal="center" vertical="center" wrapText="1"/>
    </xf>
    <xf numFmtId="0" fontId="27" fillId="0" borderId="0" xfId="0" applyFont="1"/>
    <xf numFmtId="0" fontId="27" fillId="21" borderId="1" xfId="0" applyFont="1" applyFill="1" applyBorder="1"/>
    <xf numFmtId="0" fontId="27" fillId="22" borderId="1" xfId="0" applyFont="1" applyFill="1" applyBorder="1"/>
    <xf numFmtId="0" fontId="27" fillId="23" borderId="1" xfId="0" applyFont="1" applyFill="1" applyBorder="1"/>
    <xf numFmtId="0" fontId="27" fillId="24" borderId="1" xfId="0" applyFont="1" applyFill="1" applyBorder="1"/>
    <xf numFmtId="0" fontId="27" fillId="25" borderId="1" xfId="0" applyFont="1" applyFill="1" applyBorder="1"/>
    <xf numFmtId="0" fontId="27" fillId="8" borderId="1" xfId="0" applyFont="1" applyFill="1" applyBorder="1"/>
    <xf numFmtId="0" fontId="27" fillId="26" borderId="1" xfId="0" applyFont="1" applyFill="1" applyBorder="1"/>
    <xf numFmtId="9" fontId="0" fillId="0" borderId="1" xfId="0" applyNumberFormat="1" applyBorder="1" applyAlignment="1">
      <alignment horizontal="center" vertical="center"/>
    </xf>
    <xf numFmtId="0" fontId="26" fillId="0" borderId="0" xfId="0" applyFont="1" applyAlignment="1">
      <alignment vertical="center" wrapText="1" readingOrder="2"/>
    </xf>
    <xf numFmtId="0" fontId="26" fillId="20" borderId="1" xfId="0" applyFont="1" applyFill="1" applyBorder="1" applyAlignment="1">
      <alignment horizontal="center" vertical="center" wrapText="1"/>
    </xf>
    <xf numFmtId="1" fontId="17" fillId="0" borderId="0" xfId="0" applyNumberFormat="1" applyFont="1" applyAlignment="1">
      <alignment horizontal="center" vertical="center" wrapText="1"/>
    </xf>
    <xf numFmtId="0" fontId="17" fillId="20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164" fontId="17" fillId="20" borderId="1" xfId="0" applyNumberFormat="1" applyFont="1" applyFill="1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/>
    </xf>
    <xf numFmtId="0" fontId="26" fillId="19" borderId="1" xfId="0" applyFont="1" applyFill="1" applyBorder="1" applyAlignment="1">
      <alignment horizontal="center" vertical="center"/>
    </xf>
    <xf numFmtId="1" fontId="17" fillId="20" borderId="1" xfId="0" applyNumberFormat="1" applyFont="1" applyFill="1" applyBorder="1" applyAlignment="1">
      <alignment horizontal="center" vertical="center"/>
    </xf>
    <xf numFmtId="0" fontId="26" fillId="19" borderId="1" xfId="0" applyFont="1" applyFill="1" applyBorder="1" applyAlignment="1">
      <alignment horizontal="center" vertical="center" readingOrder="2"/>
    </xf>
    <xf numFmtId="0" fontId="18" fillId="5" borderId="0" xfId="0" applyFont="1" applyFill="1" applyAlignment="1">
      <alignment vertical="center"/>
    </xf>
    <xf numFmtId="0" fontId="18" fillId="16" borderId="0" xfId="0" applyFont="1" applyFill="1" applyAlignment="1">
      <alignment vertical="center"/>
    </xf>
    <xf numFmtId="0" fontId="18" fillId="16" borderId="0" xfId="0" applyFont="1" applyFill="1" applyAlignment="1">
      <alignment horizontal="center" vertical="center"/>
    </xf>
    <xf numFmtId="0" fontId="18" fillId="17" borderId="0" xfId="0" applyFont="1" applyFill="1" applyAlignment="1">
      <alignment horizontal="center" vertical="center"/>
    </xf>
    <xf numFmtId="0" fontId="22" fillId="18" borderId="1" xfId="0" applyFont="1" applyFill="1" applyBorder="1" applyAlignment="1">
      <alignment horizontal="center" vertical="center" wrapText="1"/>
    </xf>
    <xf numFmtId="0" fontId="22" fillId="18" borderId="6" xfId="0" applyFont="1" applyFill="1" applyBorder="1" applyAlignment="1">
      <alignment horizontal="center" vertical="center"/>
    </xf>
    <xf numFmtId="0" fontId="22" fillId="18" borderId="7" xfId="0" applyFont="1" applyFill="1" applyBorder="1" applyAlignment="1">
      <alignment horizontal="center" vertical="center"/>
    </xf>
    <xf numFmtId="0" fontId="19" fillId="5" borderId="8" xfId="0" applyFont="1" applyFill="1" applyBorder="1" applyAlignment="1">
      <alignment horizontal="center" vertical="center"/>
    </xf>
    <xf numFmtId="0" fontId="18" fillId="5" borderId="8" xfId="0" applyFont="1" applyFill="1" applyBorder="1" applyAlignment="1">
      <alignment horizontal="center" vertical="center"/>
    </xf>
    <xf numFmtId="0" fontId="19" fillId="15" borderId="8" xfId="0" applyFont="1" applyFill="1" applyBorder="1" applyAlignment="1">
      <alignment horizontal="center" vertical="center"/>
    </xf>
    <xf numFmtId="0" fontId="18" fillId="16" borderId="8" xfId="0" applyFont="1" applyFill="1" applyBorder="1" applyAlignment="1">
      <alignment horizontal="center" vertical="center"/>
    </xf>
    <xf numFmtId="0" fontId="18" fillId="17" borderId="8" xfId="0" applyFont="1" applyFill="1" applyBorder="1" applyAlignment="1">
      <alignment horizontal="center" vertical="center"/>
    </xf>
    <xf numFmtId="0" fontId="22" fillId="18" borderId="5" xfId="0" applyFont="1" applyFill="1" applyBorder="1" applyAlignment="1">
      <alignment horizontal="center" vertical="center" wrapText="1"/>
    </xf>
    <xf numFmtId="0" fontId="19" fillId="16" borderId="8" xfId="0" applyFont="1" applyFill="1" applyBorder="1" applyAlignment="1">
      <alignment horizontal="center" vertical="center"/>
    </xf>
    <xf numFmtId="0" fontId="19" fillId="17" borderId="8" xfId="0" applyFont="1" applyFill="1" applyBorder="1" applyAlignment="1">
      <alignment horizontal="center" vertical="center"/>
    </xf>
    <xf numFmtId="0" fontId="21" fillId="0" borderId="8" xfId="0" applyFont="1" applyBorder="1" applyAlignment="1">
      <alignment horizontal="center"/>
    </xf>
    <xf numFmtId="164" fontId="21" fillId="0" borderId="8" xfId="1" applyNumberFormat="1" applyFont="1" applyBorder="1" applyAlignment="1">
      <alignment horizontal="center"/>
    </xf>
    <xf numFmtId="164" fontId="21" fillId="0" borderId="8" xfId="0" applyNumberFormat="1" applyFont="1" applyBorder="1" applyAlignment="1">
      <alignment horizontal="center" vertical="center" wrapText="1"/>
    </xf>
    <xf numFmtId="0" fontId="21" fillId="0" borderId="8" xfId="0" applyFont="1" applyBorder="1" applyAlignment="1">
      <alignment horizontal="center" vertical="center" wrapText="1"/>
    </xf>
    <xf numFmtId="0" fontId="22" fillId="18" borderId="8" xfId="0" applyFont="1" applyFill="1" applyBorder="1" applyAlignment="1">
      <alignment horizontal="center" vertical="center" wrapText="1"/>
    </xf>
    <xf numFmtId="1" fontId="0" fillId="5" borderId="0" xfId="0" quotePrefix="1" applyNumberFormat="1" applyFill="1" applyAlignment="1">
      <alignment horizontal="center" vertical="center"/>
    </xf>
    <xf numFmtId="0" fontId="17" fillId="5" borderId="8" xfId="0" applyFont="1" applyFill="1" applyBorder="1" applyAlignment="1">
      <alignment horizontal="center" vertical="center" wrapText="1"/>
    </xf>
    <xf numFmtId="0" fontId="17" fillId="15" borderId="8" xfId="0" applyFont="1" applyFill="1" applyBorder="1" applyAlignment="1">
      <alignment horizontal="center" vertical="center"/>
    </xf>
    <xf numFmtId="0" fontId="17" fillId="16" borderId="8" xfId="0" applyFont="1" applyFill="1" applyBorder="1" applyAlignment="1">
      <alignment horizontal="center" vertical="center"/>
    </xf>
    <xf numFmtId="0" fontId="17" fillId="17" borderId="8" xfId="0" applyFont="1" applyFill="1" applyBorder="1" applyAlignment="1">
      <alignment horizontal="center" vertical="center"/>
    </xf>
    <xf numFmtId="1" fontId="28" fillId="5" borderId="0" xfId="0" quotePrefix="1" applyNumberFormat="1" applyFont="1" applyFill="1" applyAlignment="1">
      <alignment horizontal="center" vertical="center"/>
    </xf>
    <xf numFmtId="1" fontId="28" fillId="5" borderId="0" xfId="0" applyNumberFormat="1" applyFont="1" applyFill="1" applyAlignment="1">
      <alignment horizontal="center" vertical="center"/>
    </xf>
    <xf numFmtId="0" fontId="19" fillId="5" borderId="0" xfId="0" applyFont="1" applyFill="1" applyAlignment="1">
      <alignment horizontal="left" vertical="center"/>
    </xf>
    <xf numFmtId="0" fontId="29" fillId="0" borderId="0" xfId="0" applyFont="1" applyAlignment="1">
      <alignment horizontal="center"/>
    </xf>
    <xf numFmtId="9" fontId="0" fillId="5" borderId="1" xfId="1" applyFont="1" applyFill="1" applyBorder="1" applyAlignment="1">
      <alignment horizontal="center"/>
    </xf>
    <xf numFmtId="9" fontId="0" fillId="0" borderId="0" xfId="0" applyNumberFormat="1"/>
    <xf numFmtId="0" fontId="30" fillId="11" borderId="1" xfId="0" applyFont="1" applyFill="1" applyBorder="1" applyAlignment="1">
      <alignment horizontal="center" vertical="center"/>
    </xf>
    <xf numFmtId="0" fontId="31" fillId="0" borderId="0" xfId="0" applyFont="1" applyAlignment="1">
      <alignment horizontal="center"/>
    </xf>
    <xf numFmtId="0" fontId="31" fillId="0" borderId="0" xfId="0" applyFont="1"/>
    <xf numFmtId="0" fontId="31" fillId="0" borderId="8" xfId="0" applyFont="1" applyBorder="1" applyAlignment="1">
      <alignment horizontal="center"/>
    </xf>
    <xf numFmtId="164" fontId="31" fillId="0" borderId="8" xfId="1" applyNumberFormat="1" applyFont="1" applyBorder="1" applyAlignment="1">
      <alignment horizontal="center"/>
    </xf>
    <xf numFmtId="164" fontId="31" fillId="0" borderId="0" xfId="1" applyNumberFormat="1" applyFont="1" applyAlignment="1">
      <alignment horizontal="center"/>
    </xf>
    <xf numFmtId="0" fontId="31" fillId="0" borderId="8" xfId="0" applyFont="1" applyBorder="1" applyAlignment="1">
      <alignment horizontal="center" vertical="center" wrapText="1"/>
    </xf>
    <xf numFmtId="0" fontId="31" fillId="0" borderId="0" xfId="0" applyFont="1" applyAlignment="1">
      <alignment vertical="center" wrapText="1"/>
    </xf>
    <xf numFmtId="0" fontId="32" fillId="0" borderId="0" xfId="0" applyFont="1" applyAlignment="1">
      <alignment horizontal="center" vertical="center" wrapText="1"/>
    </xf>
    <xf numFmtId="164" fontId="31" fillId="0" borderId="8" xfId="0" applyNumberFormat="1" applyFont="1" applyBorder="1" applyAlignment="1">
      <alignment horizontal="center" vertical="center" wrapText="1"/>
    </xf>
    <xf numFmtId="164" fontId="31" fillId="7" borderId="8" xfId="1" applyNumberFormat="1" applyFont="1" applyFill="1" applyBorder="1" applyAlignment="1">
      <alignment horizontal="center"/>
    </xf>
    <xf numFmtId="164" fontId="31" fillId="7" borderId="0" xfId="1" applyNumberFormat="1" applyFont="1" applyFill="1" applyAlignment="1">
      <alignment horizontal="center"/>
    </xf>
    <xf numFmtId="0" fontId="33" fillId="18" borderId="7" xfId="0" applyFont="1" applyFill="1" applyBorder="1" applyAlignment="1">
      <alignment horizontal="center" vertical="center"/>
    </xf>
    <xf numFmtId="0" fontId="33" fillId="18" borderId="6" xfId="0" applyFont="1" applyFill="1" applyBorder="1" applyAlignment="1">
      <alignment horizontal="center" vertical="center"/>
    </xf>
    <xf numFmtId="0" fontId="19" fillId="27" borderId="8" xfId="0" applyFont="1" applyFill="1" applyBorder="1" applyAlignment="1">
      <alignment horizontal="center" vertical="center"/>
    </xf>
    <xf numFmtId="0" fontId="19" fillId="27" borderId="0" xfId="0" applyFont="1" applyFill="1" applyAlignment="1">
      <alignment vertical="center"/>
    </xf>
    <xf numFmtId="0" fontId="17" fillId="27" borderId="0" xfId="0" applyFont="1" applyFill="1" applyAlignment="1">
      <alignment horizontal="center" vertical="center"/>
    </xf>
    <xf numFmtId="0" fontId="19" fillId="27" borderId="0" xfId="0" applyFont="1" applyFill="1" applyAlignment="1">
      <alignment horizontal="center" vertical="center" wrapText="1"/>
    </xf>
    <xf numFmtId="0" fontId="19" fillId="27" borderId="0" xfId="0" applyFont="1" applyFill="1" applyAlignment="1">
      <alignment horizontal="center" vertical="center"/>
    </xf>
    <xf numFmtId="0" fontId="17" fillId="27" borderId="0" xfId="0" applyFont="1" applyFill="1" applyAlignment="1">
      <alignment vertical="center"/>
    </xf>
    <xf numFmtId="0" fontId="21" fillId="27" borderId="0" xfId="0" applyFont="1" applyFill="1"/>
    <xf numFmtId="0" fontId="1" fillId="27" borderId="0" xfId="0" applyFont="1" applyFill="1"/>
    <xf numFmtId="0" fontId="0" fillId="27" borderId="1" xfId="0" applyFill="1" applyBorder="1"/>
    <xf numFmtId="1" fontId="7" fillId="27" borderId="1" xfId="0" applyNumberFormat="1" applyFont="1" applyFill="1" applyBorder="1" applyAlignment="1">
      <alignment horizontal="center"/>
    </xf>
    <xf numFmtId="0" fontId="0" fillId="11" borderId="1" xfId="0" applyFill="1" applyBorder="1" applyAlignment="1">
      <alignment horizontal="center"/>
    </xf>
    <xf numFmtId="1" fontId="7" fillId="27" borderId="1" xfId="0" quotePrefix="1" applyNumberFormat="1" applyFont="1" applyFill="1" applyBorder="1" applyAlignment="1">
      <alignment horizontal="center" wrapText="1"/>
    </xf>
    <xf numFmtId="0" fontId="21" fillId="27" borderId="0" xfId="0" applyFont="1" applyFill="1" applyAlignment="1">
      <alignment horizont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textRotation="90" wrapText="1"/>
    </xf>
    <xf numFmtId="0" fontId="3" fillId="7" borderId="1" xfId="0" applyFont="1" applyFill="1" applyBorder="1" applyAlignment="1">
      <alignment horizontal="center" vertical="center" textRotation="90"/>
    </xf>
    <xf numFmtId="0" fontId="3" fillId="7" borderId="2" xfId="0" applyFont="1" applyFill="1" applyBorder="1" applyAlignment="1">
      <alignment horizontal="center" vertical="center" textRotation="90"/>
    </xf>
    <xf numFmtId="0" fontId="3" fillId="7" borderId="3" xfId="0" applyFont="1" applyFill="1" applyBorder="1" applyAlignment="1">
      <alignment horizontal="center" vertical="center" textRotation="90"/>
    </xf>
    <xf numFmtId="0" fontId="3" fillId="7" borderId="4" xfId="0" applyFont="1" applyFill="1" applyBorder="1" applyAlignment="1">
      <alignment horizontal="center" vertical="center" textRotation="90"/>
    </xf>
    <xf numFmtId="0" fontId="6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12" fillId="9" borderId="0" xfId="0" applyFont="1" applyFill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 textRotation="90" wrapText="1"/>
    </xf>
    <xf numFmtId="0" fontId="3" fillId="7" borderId="3" xfId="0" applyFont="1" applyFill="1" applyBorder="1" applyAlignment="1">
      <alignment horizontal="center" vertical="center" textRotation="90" wrapText="1"/>
    </xf>
    <xf numFmtId="0" fontId="3" fillId="7" borderId="4" xfId="0" applyFont="1" applyFill="1" applyBorder="1" applyAlignment="1">
      <alignment horizontal="center" vertical="center" textRotation="90" wrapText="1"/>
    </xf>
    <xf numFmtId="0" fontId="8" fillId="3" borderId="1" xfId="0" applyFont="1" applyFill="1" applyBorder="1" applyAlignment="1">
      <alignment horizontal="center" vertical="center"/>
    </xf>
    <xf numFmtId="0" fontId="14" fillId="3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15" fillId="2" borderId="1" xfId="0" applyFont="1" applyFill="1" applyBorder="1" applyAlignment="1">
      <alignment horizontal="left" vertical="center" wrapText="1"/>
    </xf>
    <xf numFmtId="0" fontId="14" fillId="2" borderId="1" xfId="0" applyFont="1" applyFill="1" applyBorder="1" applyAlignment="1">
      <alignment horizontal="left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19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FF00"/>
      <color rgb="FFF8F8F8"/>
      <color rgb="FFCCFF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ysClr val="windowText" lastClr="000000"/>
                </a:solidFill>
              </a:rPr>
              <a:t>Major 1 - CEM (CH/ECTS)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Statistics!$J$18</c:f>
              <c:strCache>
                <c:ptCount val="1"/>
                <c:pt idx="0">
                  <c:v>Major 1 - CEM (CH/ECTS)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</c:spPr>
          <c:dPt>
            <c:idx val="0"/>
            <c:bubble3D val="0"/>
            <c:spPr>
              <a:solidFill>
                <a:schemeClr val="bg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4A3-4FD4-A524-E967BB8F322E}"/>
              </c:ext>
            </c:extLst>
          </c:dPt>
          <c:dPt>
            <c:idx val="1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4A3-4FD4-A524-E967BB8F322E}"/>
              </c:ext>
            </c:extLst>
          </c:dPt>
          <c:dPt>
            <c:idx val="2"/>
            <c:bubble3D val="0"/>
            <c:spPr>
              <a:solidFill>
                <a:schemeClr val="accent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4A3-4FD4-A524-E967BB8F322E}"/>
              </c:ext>
            </c:extLst>
          </c:dPt>
          <c:dPt>
            <c:idx val="3"/>
            <c:bubble3D val="0"/>
            <c:spPr>
              <a:solidFill>
                <a:srgbClr val="B1FBF7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34A3-4FD4-A524-E967BB8F322E}"/>
              </c:ext>
            </c:extLst>
          </c:dPt>
          <c:dPt>
            <c:idx val="4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34A3-4FD4-A524-E967BB8F322E}"/>
              </c:ext>
            </c:extLst>
          </c:dPt>
          <c:dPt>
            <c:idx val="5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34A3-4FD4-A524-E967BB8F322E}"/>
              </c:ext>
            </c:extLst>
          </c:dPt>
          <c:dPt>
            <c:idx val="6"/>
            <c:bubble3D val="0"/>
            <c:spPr>
              <a:solidFill>
                <a:schemeClr val="tx1">
                  <a:lumMod val="65000"/>
                  <a:lumOff val="3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34A3-4FD4-A524-E967BB8F322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Statistics!$C$19:$C$25</c:f>
              <c:strCache>
                <c:ptCount val="7"/>
                <c:pt idx="0">
                  <c:v>Hum-SC</c:v>
                </c:pt>
                <c:pt idx="1">
                  <c:v>BA</c:v>
                </c:pt>
                <c:pt idx="2">
                  <c:v>Math-BS</c:v>
                </c:pt>
                <c:pt idx="3">
                  <c:v>Eng-Cult</c:v>
                </c:pt>
                <c:pt idx="4">
                  <c:v>Eng-BS</c:v>
                </c:pt>
                <c:pt idx="5">
                  <c:v>Eng-App</c:v>
                </c:pt>
                <c:pt idx="6">
                  <c:v>Projects-PT</c:v>
                </c:pt>
              </c:strCache>
            </c:strRef>
          </c:cat>
          <c:val>
            <c:numRef>
              <c:f>Statistics!$J$19:$J$25</c:f>
              <c:numCache>
                <c:formatCode>0%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34A3-4FD4-A524-E967BB8F32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l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2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Statistics!$L$18</c:f>
              <c:strCache>
                <c:ptCount val="1"/>
                <c:pt idx="0">
                  <c:v>Major 2 - SSE (CH/ECTS)</c:v>
                </c:pt>
              </c:strCache>
            </c:strRef>
          </c:tx>
          <c:dPt>
            <c:idx val="0"/>
            <c:bubble3D val="0"/>
            <c:spPr>
              <a:solidFill>
                <a:schemeClr val="bg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5C3-41FB-9046-0E9506C718AA}"/>
              </c:ext>
            </c:extLst>
          </c:dPt>
          <c:dPt>
            <c:idx val="1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5C3-41FB-9046-0E9506C718AA}"/>
              </c:ext>
            </c:extLst>
          </c:dPt>
          <c:dPt>
            <c:idx val="2"/>
            <c:bubble3D val="0"/>
            <c:spPr>
              <a:solidFill>
                <a:schemeClr val="accent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5C3-41FB-9046-0E9506C718AA}"/>
              </c:ext>
            </c:extLst>
          </c:dPt>
          <c:dPt>
            <c:idx val="3"/>
            <c:bubble3D val="0"/>
            <c:spPr>
              <a:solidFill>
                <a:srgbClr val="00FFF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75C3-41FB-9046-0E9506C718AA}"/>
              </c:ext>
            </c:extLst>
          </c:dPt>
          <c:dPt>
            <c:idx val="4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75C3-41FB-9046-0E9506C718AA}"/>
              </c:ext>
            </c:extLst>
          </c:dPt>
          <c:dPt>
            <c:idx val="5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75C3-41FB-9046-0E9506C718AA}"/>
              </c:ext>
            </c:extLst>
          </c:dPt>
          <c:dPt>
            <c:idx val="6"/>
            <c:bubble3D val="0"/>
            <c:spPr>
              <a:solidFill>
                <a:schemeClr val="tx1">
                  <a:lumMod val="65000"/>
                  <a:lumOff val="3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75C3-41FB-9046-0E9506C718A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Statistics!$C$19:$C$25</c:f>
              <c:strCache>
                <c:ptCount val="7"/>
                <c:pt idx="0">
                  <c:v>Hum-SC</c:v>
                </c:pt>
                <c:pt idx="1">
                  <c:v>BA</c:v>
                </c:pt>
                <c:pt idx="2">
                  <c:v>Math-BS</c:v>
                </c:pt>
                <c:pt idx="3">
                  <c:v>Eng-Cult</c:v>
                </c:pt>
                <c:pt idx="4">
                  <c:v>Eng-BS</c:v>
                </c:pt>
                <c:pt idx="5">
                  <c:v>Eng-App</c:v>
                </c:pt>
                <c:pt idx="6">
                  <c:v>Projects-PT</c:v>
                </c:pt>
              </c:strCache>
            </c:strRef>
          </c:cat>
          <c:val>
            <c:numRef>
              <c:f>Statistics!$L$19:$L$25</c:f>
              <c:numCache>
                <c:formatCode>0%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75C3-41FB-9046-0E9506C718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l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2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CCE (CH/ECTS)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42243773611343505"/>
          <c:y val="0.17047291337807707"/>
          <c:w val="0.41774478611274962"/>
          <c:h val="0.72679173717024204"/>
        </c:manualLayout>
      </c:layout>
      <c:pieChart>
        <c:varyColors val="1"/>
        <c:ser>
          <c:idx val="0"/>
          <c:order val="0"/>
          <c:tx>
            <c:strRef>
              <c:f>Statistics!$J$18</c:f>
              <c:strCache>
                <c:ptCount val="1"/>
                <c:pt idx="0">
                  <c:v>Major 1 - CEM (CH/ECTS)</c:v>
                </c:pt>
              </c:strCache>
            </c:strRef>
          </c:tx>
          <c:dPt>
            <c:idx val="0"/>
            <c:bubble3D val="0"/>
            <c:spPr>
              <a:solidFill>
                <a:srgbClr val="CCFFF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01B-4D0A-8EF9-1846107C612D}"/>
              </c:ext>
            </c:extLst>
          </c:dPt>
          <c:dPt>
            <c:idx val="1"/>
            <c:bubble3D val="0"/>
            <c:spPr>
              <a:solidFill>
                <a:schemeClr val="bg1">
                  <a:lumMod val="9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01B-4D0A-8EF9-1846107C612D}"/>
              </c:ext>
            </c:extLst>
          </c:dPt>
          <c:dPt>
            <c:idx val="2"/>
            <c:bubble3D val="0"/>
            <c:spPr>
              <a:solidFill>
                <a:srgbClr val="FFD96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01B-4D0A-8EF9-1846107C612D}"/>
              </c:ext>
            </c:extLst>
          </c:dPt>
          <c:dPt>
            <c:idx val="3"/>
            <c:bubble3D val="0"/>
            <c:spPr>
              <a:solidFill>
                <a:srgbClr val="F4B08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C01B-4D0A-8EF9-1846107C612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Statistics!$C$9:$C$12</c:f>
              <c:strCache>
                <c:ptCount val="4"/>
                <c:pt idx="0">
                  <c:v>Univesity</c:v>
                </c:pt>
                <c:pt idx="1">
                  <c:v>School</c:v>
                </c:pt>
                <c:pt idx="2">
                  <c:v>Program - Gen</c:v>
                </c:pt>
                <c:pt idx="3">
                  <c:v>Program - Spec</c:v>
                </c:pt>
              </c:strCache>
            </c:strRef>
          </c:cat>
          <c:val>
            <c:numRef>
              <c:f>Statistics!$J$9:$J$12</c:f>
              <c:numCache>
                <c:formatCode>0%</c:formatCode>
                <c:ptCount val="4"/>
                <c:pt idx="0">
                  <c:v>8.3333333333333329E-2</c:v>
                </c:pt>
                <c:pt idx="1">
                  <c:v>0.20833333333333334</c:v>
                </c:pt>
                <c:pt idx="2">
                  <c:v>0.45833333333333331</c:v>
                </c:pt>
                <c:pt idx="3">
                  <c:v>0.25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01B-4D0A-8EF9-1846107C61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l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2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942975</xdr:colOff>
      <xdr:row>43</xdr:row>
      <xdr:rowOff>147637</xdr:rowOff>
    </xdr:from>
    <xdr:to>
      <xdr:col>9</xdr:col>
      <xdr:colOff>762000</xdr:colOff>
      <xdr:row>58</xdr:row>
      <xdr:rowOff>33337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9D8B01B-DC07-4C7A-96F2-2F7498A4CA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600075</xdr:colOff>
      <xdr:row>43</xdr:row>
      <xdr:rowOff>95250</xdr:rowOff>
    </xdr:from>
    <xdr:to>
      <xdr:col>18</xdr:col>
      <xdr:colOff>295275</xdr:colOff>
      <xdr:row>57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02B6688-D410-44E3-B032-5E56832009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561975</xdr:colOff>
      <xdr:row>28</xdr:row>
      <xdr:rowOff>114299</xdr:rowOff>
    </xdr:from>
    <xdr:to>
      <xdr:col>14</xdr:col>
      <xdr:colOff>95250</xdr:colOff>
      <xdr:row>42</xdr:row>
      <xdr:rowOff>190499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9FB69F9-14A7-4FF2-B936-2FD9453871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D75C9-82D3-4996-A42F-3DA9A7994D5E}">
  <sheetPr>
    <tabColor rgb="FFFFFF00"/>
    <pageSetUpPr fitToPage="1"/>
  </sheetPr>
  <dimension ref="A1:U67"/>
  <sheetViews>
    <sheetView topLeftCell="A27" zoomScale="70" zoomScaleNormal="70" workbookViewId="0">
      <selection activeCell="C57" sqref="C57"/>
    </sheetView>
  </sheetViews>
  <sheetFormatPr defaultRowHeight="13.2" x14ac:dyDescent="0.25"/>
  <cols>
    <col min="1" max="1" width="12.44140625" style="156" customWidth="1"/>
    <col min="2" max="2" width="12.77734375" style="155" customWidth="1"/>
    <col min="3" max="3" width="10.6640625" style="156" bestFit="1" customWidth="1"/>
    <col min="4" max="4" width="48.5546875" style="155" bestFit="1" customWidth="1"/>
    <col min="5" max="7" width="5.77734375" style="155" customWidth="1"/>
    <col min="8" max="8" width="16.5546875" style="156" customWidth="1"/>
    <col min="9" max="15" width="9.77734375" style="156" customWidth="1"/>
    <col min="16" max="21" width="9.77734375" style="155" customWidth="1"/>
    <col min="22" max="16384" width="8.88671875" style="155"/>
  </cols>
  <sheetData>
    <row r="1" spans="1:21" ht="14.4" customHeight="1" thickBot="1" x14ac:dyDescent="0.3">
      <c r="A1" s="193"/>
      <c r="B1" s="166"/>
    </row>
    <row r="2" spans="1:21" ht="15" customHeight="1" x14ac:dyDescent="0.25">
      <c r="A2" s="234" t="s">
        <v>250</v>
      </c>
      <c r="B2" s="242" t="s">
        <v>251</v>
      </c>
      <c r="C2" s="234" t="s">
        <v>17</v>
      </c>
      <c r="D2" s="242" t="s">
        <v>252</v>
      </c>
      <c r="E2" s="249" t="s">
        <v>6</v>
      </c>
      <c r="F2" s="249" t="s">
        <v>7</v>
      </c>
      <c r="G2" s="249" t="s">
        <v>8</v>
      </c>
      <c r="H2" s="249" t="s">
        <v>260</v>
      </c>
      <c r="I2" s="236" t="s">
        <v>253</v>
      </c>
      <c r="J2" s="235" t="s">
        <v>254</v>
      </c>
      <c r="K2" s="235" t="s">
        <v>258</v>
      </c>
      <c r="L2" s="235" t="s">
        <v>255</v>
      </c>
      <c r="M2" s="235" t="s">
        <v>256</v>
      </c>
      <c r="N2" s="235" t="s">
        <v>257</v>
      </c>
      <c r="O2" s="236" t="s">
        <v>127</v>
      </c>
      <c r="P2" s="235" t="s">
        <v>128</v>
      </c>
      <c r="Q2" s="235" t="s">
        <v>129</v>
      </c>
      <c r="R2" s="235" t="s">
        <v>247</v>
      </c>
      <c r="S2" s="235" t="s">
        <v>248</v>
      </c>
      <c r="T2" s="235" t="s">
        <v>130</v>
      </c>
      <c r="U2" s="235" t="s">
        <v>249</v>
      </c>
    </row>
    <row r="3" spans="1:21" ht="13.8" x14ac:dyDescent="0.25">
      <c r="A3" s="178">
        <v>1</v>
      </c>
      <c r="B3" s="178">
        <v>1</v>
      </c>
      <c r="C3" s="237" t="s">
        <v>178</v>
      </c>
      <c r="D3" s="177" t="s">
        <v>24</v>
      </c>
      <c r="E3" s="251"/>
      <c r="F3" s="146"/>
      <c r="G3" s="146"/>
      <c r="H3" s="255" t="s">
        <v>259</v>
      </c>
      <c r="I3" s="237">
        <v>0</v>
      </c>
      <c r="J3" s="178"/>
      <c r="K3" s="178"/>
      <c r="L3" s="178"/>
      <c r="M3" s="178"/>
      <c r="N3" s="178"/>
      <c r="O3" s="237">
        <v>0</v>
      </c>
      <c r="P3" s="230"/>
      <c r="Q3" s="230"/>
      <c r="R3" s="230"/>
      <c r="S3" s="230"/>
      <c r="T3" s="230"/>
      <c r="U3" s="230"/>
    </row>
    <row r="4" spans="1:21" ht="13.8" x14ac:dyDescent="0.25">
      <c r="A4" s="178">
        <v>1</v>
      </c>
      <c r="B4" s="178">
        <v>2</v>
      </c>
      <c r="C4" s="237" t="s">
        <v>179</v>
      </c>
      <c r="D4" s="177" t="s">
        <v>25</v>
      </c>
      <c r="E4" s="251"/>
      <c r="F4" s="146"/>
      <c r="G4" s="146"/>
      <c r="H4" s="256" t="s">
        <v>84</v>
      </c>
      <c r="I4" s="237">
        <v>0</v>
      </c>
      <c r="J4" s="178"/>
      <c r="K4" s="178"/>
      <c r="L4" s="178"/>
      <c r="M4" s="178"/>
      <c r="N4" s="178"/>
      <c r="O4" s="237">
        <v>0</v>
      </c>
      <c r="P4" s="230"/>
      <c r="Q4" s="230"/>
      <c r="R4" s="230"/>
      <c r="S4" s="230"/>
      <c r="T4" s="230"/>
      <c r="U4" s="230"/>
    </row>
    <row r="5" spans="1:21" ht="13.8" x14ac:dyDescent="0.25">
      <c r="A5" s="178">
        <v>2</v>
      </c>
      <c r="B5" s="178">
        <v>3</v>
      </c>
      <c r="C5" s="237" t="s">
        <v>180</v>
      </c>
      <c r="D5" s="177" t="s">
        <v>35</v>
      </c>
      <c r="E5" s="251">
        <v>3</v>
      </c>
      <c r="F5" s="146">
        <v>0</v>
      </c>
      <c r="G5" s="146">
        <v>0</v>
      </c>
      <c r="H5" s="256" t="s">
        <v>85</v>
      </c>
      <c r="I5" s="237">
        <v>3</v>
      </c>
      <c r="J5" s="178"/>
      <c r="K5" s="178"/>
      <c r="L5" s="178"/>
      <c r="M5" s="178"/>
      <c r="N5" s="178"/>
      <c r="O5" s="237">
        <v>3</v>
      </c>
      <c r="P5" s="230"/>
      <c r="Q5" s="230"/>
      <c r="R5" s="230"/>
      <c r="S5" s="230"/>
      <c r="T5" s="230"/>
      <c r="U5" s="230"/>
    </row>
    <row r="6" spans="1:21" ht="13.8" x14ac:dyDescent="0.25">
      <c r="A6" s="178">
        <v>2</v>
      </c>
      <c r="B6" s="178">
        <v>4</v>
      </c>
      <c r="C6" s="237" t="s">
        <v>181</v>
      </c>
      <c r="D6" s="177" t="s">
        <v>36</v>
      </c>
      <c r="E6" s="251">
        <v>3</v>
      </c>
      <c r="F6" s="146">
        <v>0</v>
      </c>
      <c r="G6" s="146">
        <v>0</v>
      </c>
      <c r="H6" s="256" t="s">
        <v>85</v>
      </c>
      <c r="I6" s="237">
        <v>3</v>
      </c>
      <c r="J6" s="178"/>
      <c r="K6" s="178"/>
      <c r="L6" s="178"/>
      <c r="M6" s="178"/>
      <c r="N6" s="178"/>
      <c r="O6" s="237">
        <v>3</v>
      </c>
      <c r="P6" s="230"/>
      <c r="Q6" s="230"/>
      <c r="R6" s="230"/>
      <c r="S6" s="230"/>
      <c r="T6" s="230"/>
      <c r="U6" s="230"/>
    </row>
    <row r="7" spans="1:21" ht="14.4" x14ac:dyDescent="0.25">
      <c r="A7" s="178">
        <v>1</v>
      </c>
      <c r="B7" s="178">
        <v>1</v>
      </c>
      <c r="C7" s="237" t="s">
        <v>182</v>
      </c>
      <c r="D7" s="177" t="s">
        <v>104</v>
      </c>
      <c r="E7" s="251">
        <v>1</v>
      </c>
      <c r="F7" s="146">
        <v>2</v>
      </c>
      <c r="G7" s="146">
        <v>2</v>
      </c>
      <c r="H7" s="250"/>
      <c r="I7" s="237">
        <v>3</v>
      </c>
      <c r="J7" s="178"/>
      <c r="K7" s="178"/>
      <c r="L7" s="178"/>
      <c r="M7" s="178"/>
      <c r="N7" s="178"/>
      <c r="O7" s="238"/>
      <c r="P7" s="230"/>
      <c r="Q7" s="230"/>
      <c r="R7" s="178">
        <v>3</v>
      </c>
      <c r="S7" s="230"/>
      <c r="T7" s="230"/>
      <c r="U7" s="230"/>
    </row>
    <row r="8" spans="1:21" ht="14.4" x14ac:dyDescent="0.25">
      <c r="A8" s="178">
        <v>1</v>
      </c>
      <c r="B8" s="178">
        <v>2</v>
      </c>
      <c r="C8" s="237" t="s">
        <v>183</v>
      </c>
      <c r="D8" s="177" t="s">
        <v>121</v>
      </c>
      <c r="E8" s="251">
        <v>3</v>
      </c>
      <c r="F8" s="146">
        <v>0</v>
      </c>
      <c r="G8" s="146">
        <v>0</v>
      </c>
      <c r="H8" s="250"/>
      <c r="I8" s="237"/>
      <c r="J8" s="178">
        <v>3</v>
      </c>
      <c r="K8" s="178"/>
      <c r="L8" s="178"/>
      <c r="M8" s="178"/>
      <c r="N8" s="178"/>
      <c r="O8" s="237">
        <v>3</v>
      </c>
      <c r="P8" s="230"/>
      <c r="Q8" s="230"/>
      <c r="R8" s="230"/>
      <c r="S8" s="230"/>
      <c r="T8" s="230"/>
      <c r="U8" s="230"/>
    </row>
    <row r="9" spans="1:21" x14ac:dyDescent="0.25">
      <c r="A9" s="180">
        <v>1</v>
      </c>
      <c r="B9" s="180">
        <v>2</v>
      </c>
      <c r="C9" s="239" t="s">
        <v>184</v>
      </c>
      <c r="D9" s="179" t="s">
        <v>185</v>
      </c>
      <c r="E9" s="252">
        <v>2</v>
      </c>
      <c r="F9" s="188">
        <v>0</v>
      </c>
      <c r="G9" s="188">
        <v>2</v>
      </c>
      <c r="H9" s="180"/>
      <c r="I9" s="239"/>
      <c r="J9" s="180"/>
      <c r="K9" s="180">
        <v>3</v>
      </c>
      <c r="L9" s="180"/>
      <c r="M9" s="180"/>
      <c r="N9" s="180"/>
      <c r="O9" s="239"/>
      <c r="P9" s="180"/>
      <c r="Q9" s="180"/>
      <c r="R9" s="180">
        <v>3</v>
      </c>
      <c r="S9" s="180"/>
      <c r="T9" s="180"/>
      <c r="U9" s="180"/>
    </row>
    <row r="10" spans="1:21" x14ac:dyDescent="0.25">
      <c r="A10" s="180">
        <v>1</v>
      </c>
      <c r="B10" s="180">
        <v>1</v>
      </c>
      <c r="C10" s="239" t="s">
        <v>273</v>
      </c>
      <c r="D10" s="179" t="s">
        <v>97</v>
      </c>
      <c r="E10" s="252">
        <v>2</v>
      </c>
      <c r="F10" s="188">
        <v>2</v>
      </c>
      <c r="G10" s="188">
        <v>0</v>
      </c>
      <c r="H10" s="180"/>
      <c r="I10" s="239"/>
      <c r="J10" s="180">
        <v>3</v>
      </c>
      <c r="K10" s="180"/>
      <c r="L10" s="180"/>
      <c r="M10" s="180"/>
      <c r="N10" s="180"/>
      <c r="O10" s="239">
        <v>3</v>
      </c>
      <c r="P10" s="180"/>
      <c r="Q10" s="180"/>
      <c r="R10" s="180"/>
      <c r="S10" s="180"/>
      <c r="T10" s="180"/>
      <c r="U10" s="180"/>
    </row>
    <row r="11" spans="1:21" x14ac:dyDescent="0.25">
      <c r="A11" s="180">
        <v>1</v>
      </c>
      <c r="B11" s="180">
        <v>8</v>
      </c>
      <c r="C11" s="239" t="s">
        <v>357</v>
      </c>
      <c r="D11" s="179" t="s">
        <v>186</v>
      </c>
      <c r="E11" s="252">
        <v>2</v>
      </c>
      <c r="F11" s="188">
        <v>2</v>
      </c>
      <c r="G11" s="188">
        <v>0</v>
      </c>
      <c r="H11" s="180"/>
      <c r="I11" s="239"/>
      <c r="J11" s="180"/>
      <c r="K11" s="180">
        <v>3</v>
      </c>
      <c r="L11" s="180"/>
      <c r="M11" s="180"/>
      <c r="N11" s="180"/>
      <c r="O11" s="239">
        <v>3</v>
      </c>
      <c r="P11" s="180"/>
      <c r="Q11" s="180"/>
      <c r="R11" s="180"/>
      <c r="S11" s="180"/>
      <c r="T11" s="180"/>
      <c r="U11" s="180"/>
    </row>
    <row r="12" spans="1:21" x14ac:dyDescent="0.25">
      <c r="A12" s="180">
        <v>4</v>
      </c>
      <c r="B12" s="180">
        <v>8</v>
      </c>
      <c r="C12" s="239" t="s">
        <v>274</v>
      </c>
      <c r="D12" s="179" t="s">
        <v>120</v>
      </c>
      <c r="E12" s="252">
        <v>2</v>
      </c>
      <c r="F12" s="188">
        <v>2</v>
      </c>
      <c r="G12" s="188">
        <v>0</v>
      </c>
      <c r="H12" s="180"/>
      <c r="I12" s="239"/>
      <c r="J12" s="180">
        <v>3</v>
      </c>
      <c r="K12" s="180"/>
      <c r="L12" s="180"/>
      <c r="M12" s="180"/>
      <c r="N12" s="180"/>
      <c r="O12" s="239"/>
      <c r="P12" s="180"/>
      <c r="Q12" s="180"/>
      <c r="R12" s="180"/>
      <c r="S12" s="180">
        <v>3</v>
      </c>
      <c r="T12" s="180"/>
      <c r="U12" s="180"/>
    </row>
    <row r="13" spans="1:21" x14ac:dyDescent="0.25">
      <c r="A13" s="180">
        <v>1</v>
      </c>
      <c r="B13" s="180">
        <v>1</v>
      </c>
      <c r="C13" s="239" t="s">
        <v>349</v>
      </c>
      <c r="D13" s="179" t="s">
        <v>105</v>
      </c>
      <c r="E13" s="252">
        <v>2</v>
      </c>
      <c r="F13" s="188">
        <v>2</v>
      </c>
      <c r="G13" s="188">
        <v>0</v>
      </c>
      <c r="H13" s="180"/>
      <c r="I13" s="239"/>
      <c r="J13" s="180"/>
      <c r="K13" s="180">
        <v>3</v>
      </c>
      <c r="L13" s="180"/>
      <c r="M13" s="180"/>
      <c r="N13" s="180"/>
      <c r="O13" s="239"/>
      <c r="P13" s="180">
        <v>3</v>
      </c>
      <c r="Q13" s="180"/>
      <c r="R13" s="180"/>
      <c r="S13" s="180"/>
      <c r="T13" s="180"/>
      <c r="U13" s="180"/>
    </row>
    <row r="14" spans="1:21" x14ac:dyDescent="0.25">
      <c r="A14" s="180">
        <v>1</v>
      </c>
      <c r="B14" s="180">
        <v>2</v>
      </c>
      <c r="C14" s="239" t="s">
        <v>350</v>
      </c>
      <c r="D14" s="179" t="s">
        <v>187</v>
      </c>
      <c r="E14" s="252">
        <v>2</v>
      </c>
      <c r="F14" s="188">
        <v>2</v>
      </c>
      <c r="G14" s="188">
        <v>0</v>
      </c>
      <c r="H14" s="180"/>
      <c r="I14" s="239"/>
      <c r="J14" s="180"/>
      <c r="K14" s="180">
        <v>3</v>
      </c>
      <c r="L14" s="180"/>
      <c r="M14" s="180"/>
      <c r="N14" s="180"/>
      <c r="O14" s="239"/>
      <c r="P14" s="180">
        <v>3</v>
      </c>
      <c r="Q14" s="180"/>
      <c r="R14" s="180"/>
      <c r="S14" s="180"/>
      <c r="T14" s="180"/>
      <c r="U14" s="180"/>
    </row>
    <row r="15" spans="1:21" x14ac:dyDescent="0.25">
      <c r="A15" s="180">
        <v>2</v>
      </c>
      <c r="B15" s="180">
        <v>3</v>
      </c>
      <c r="C15" s="239" t="s">
        <v>351</v>
      </c>
      <c r="D15" s="179" t="s">
        <v>188</v>
      </c>
      <c r="E15" s="252">
        <v>2</v>
      </c>
      <c r="F15" s="188">
        <v>2</v>
      </c>
      <c r="G15" s="188">
        <v>0</v>
      </c>
      <c r="H15" s="180"/>
      <c r="I15" s="239"/>
      <c r="J15" s="180"/>
      <c r="K15" s="180">
        <v>3</v>
      </c>
      <c r="L15" s="180"/>
      <c r="M15" s="180"/>
      <c r="N15" s="180"/>
      <c r="O15" s="239"/>
      <c r="P15" s="180">
        <v>3</v>
      </c>
      <c r="Q15" s="180"/>
      <c r="R15" s="180"/>
      <c r="S15" s="180"/>
      <c r="T15" s="180"/>
      <c r="U15" s="180"/>
    </row>
    <row r="16" spans="1:21" x14ac:dyDescent="0.25">
      <c r="A16" s="180">
        <v>1</v>
      </c>
      <c r="B16" s="180">
        <v>1</v>
      </c>
      <c r="C16" s="239" t="s">
        <v>355</v>
      </c>
      <c r="D16" s="179" t="s">
        <v>189</v>
      </c>
      <c r="E16" s="252">
        <v>2</v>
      </c>
      <c r="F16" s="188">
        <v>2</v>
      </c>
      <c r="G16" s="188">
        <v>0</v>
      </c>
      <c r="H16" s="180"/>
      <c r="I16" s="239"/>
      <c r="J16" s="180"/>
      <c r="K16" s="180">
        <v>3</v>
      </c>
      <c r="L16" s="180"/>
      <c r="M16" s="180"/>
      <c r="N16" s="180"/>
      <c r="O16" s="239"/>
      <c r="P16" s="180">
        <v>3</v>
      </c>
      <c r="Q16" s="180"/>
      <c r="R16" s="180"/>
      <c r="S16" s="180"/>
      <c r="T16" s="180"/>
      <c r="U16" s="180"/>
    </row>
    <row r="17" spans="1:21" x14ac:dyDescent="0.25">
      <c r="A17" s="180">
        <v>1</v>
      </c>
      <c r="B17" s="180">
        <v>1</v>
      </c>
      <c r="C17" s="239" t="s">
        <v>358</v>
      </c>
      <c r="D17" s="179" t="s">
        <v>31</v>
      </c>
      <c r="E17" s="252">
        <v>2</v>
      </c>
      <c r="F17" s="188">
        <v>0</v>
      </c>
      <c r="G17" s="188">
        <v>2</v>
      </c>
      <c r="H17" s="180"/>
      <c r="I17" s="239"/>
      <c r="J17" s="180"/>
      <c r="K17" s="180">
        <v>3</v>
      </c>
      <c r="L17" s="180"/>
      <c r="M17" s="180"/>
      <c r="N17" s="180"/>
      <c r="O17" s="239"/>
      <c r="P17" s="180"/>
      <c r="Q17" s="180">
        <v>3</v>
      </c>
      <c r="R17" s="180"/>
      <c r="S17" s="180"/>
      <c r="T17" s="180"/>
      <c r="U17" s="180"/>
    </row>
    <row r="18" spans="1:21" x14ac:dyDescent="0.25">
      <c r="A18" s="180">
        <v>1</v>
      </c>
      <c r="B18" s="180">
        <v>1</v>
      </c>
      <c r="C18" s="239" t="s">
        <v>190</v>
      </c>
      <c r="D18" s="179" t="s">
        <v>29</v>
      </c>
      <c r="E18" s="252">
        <v>2</v>
      </c>
      <c r="F18" s="188">
        <v>2</v>
      </c>
      <c r="G18" s="188">
        <v>1</v>
      </c>
      <c r="H18" s="180"/>
      <c r="I18" s="239"/>
      <c r="J18" s="180"/>
      <c r="K18" s="180">
        <v>3</v>
      </c>
      <c r="L18" s="180"/>
      <c r="M18" s="180"/>
      <c r="N18" s="180"/>
      <c r="O18" s="239"/>
      <c r="P18" s="180">
        <v>3</v>
      </c>
      <c r="Q18" s="180"/>
      <c r="R18" s="180"/>
      <c r="S18" s="180"/>
      <c r="T18" s="180"/>
      <c r="U18" s="180"/>
    </row>
    <row r="19" spans="1:21" x14ac:dyDescent="0.25">
      <c r="A19" s="181">
        <v>2</v>
      </c>
      <c r="B19" s="181">
        <v>2</v>
      </c>
      <c r="C19" s="243" t="s">
        <v>322</v>
      </c>
      <c r="D19" s="148" t="s">
        <v>32</v>
      </c>
      <c r="E19" s="253">
        <v>2</v>
      </c>
      <c r="F19" s="190">
        <v>2</v>
      </c>
      <c r="G19" s="190">
        <v>0</v>
      </c>
      <c r="H19" s="181" t="s">
        <v>270</v>
      </c>
      <c r="I19" s="243"/>
      <c r="J19" s="181"/>
      <c r="K19" s="181"/>
      <c r="L19" s="181">
        <v>3</v>
      </c>
      <c r="M19" s="181"/>
      <c r="N19" s="181"/>
      <c r="O19" s="240"/>
      <c r="P19" s="231"/>
      <c r="Q19" s="181">
        <v>3</v>
      </c>
      <c r="R19" s="181"/>
      <c r="S19" s="231"/>
      <c r="T19" s="231"/>
      <c r="U19" s="231"/>
    </row>
    <row r="20" spans="1:21" x14ac:dyDescent="0.25">
      <c r="A20" s="181">
        <v>2</v>
      </c>
      <c r="B20" s="181">
        <v>3</v>
      </c>
      <c r="C20" s="243" t="s">
        <v>323</v>
      </c>
      <c r="D20" s="148" t="s">
        <v>45</v>
      </c>
      <c r="E20" s="253">
        <v>2</v>
      </c>
      <c r="F20" s="190">
        <v>2</v>
      </c>
      <c r="G20" s="190">
        <v>0</v>
      </c>
      <c r="H20" s="181" t="s">
        <v>276</v>
      </c>
      <c r="I20" s="243"/>
      <c r="J20" s="181"/>
      <c r="K20" s="181"/>
      <c r="L20" s="181">
        <v>3</v>
      </c>
      <c r="M20" s="181"/>
      <c r="N20" s="181"/>
      <c r="O20" s="240"/>
      <c r="P20" s="231"/>
      <c r="Q20" s="181">
        <v>3</v>
      </c>
      <c r="R20" s="181"/>
      <c r="S20" s="231"/>
      <c r="T20" s="231"/>
      <c r="U20" s="231"/>
    </row>
    <row r="21" spans="1:21" x14ac:dyDescent="0.25">
      <c r="A21" s="181">
        <v>2</v>
      </c>
      <c r="B21" s="181">
        <v>3</v>
      </c>
      <c r="C21" s="243" t="s">
        <v>324</v>
      </c>
      <c r="D21" s="148" t="s">
        <v>43</v>
      </c>
      <c r="E21" s="253">
        <v>2</v>
      </c>
      <c r="F21" s="190">
        <v>1</v>
      </c>
      <c r="G21" s="190">
        <v>1</v>
      </c>
      <c r="H21" s="181"/>
      <c r="I21" s="243"/>
      <c r="J21" s="181"/>
      <c r="K21" s="181"/>
      <c r="L21" s="181">
        <v>3</v>
      </c>
      <c r="M21" s="181"/>
      <c r="N21" s="181"/>
      <c r="O21" s="240"/>
      <c r="P21" s="231"/>
      <c r="Q21" s="181">
        <v>3</v>
      </c>
      <c r="R21" s="181"/>
      <c r="S21" s="231"/>
      <c r="T21" s="231"/>
      <c r="U21" s="231"/>
    </row>
    <row r="22" spans="1:21" x14ac:dyDescent="0.25">
      <c r="A22" s="181">
        <v>2</v>
      </c>
      <c r="B22" s="181">
        <v>4</v>
      </c>
      <c r="C22" s="243" t="s">
        <v>325</v>
      </c>
      <c r="D22" s="148" t="s">
        <v>40</v>
      </c>
      <c r="E22" s="253">
        <v>2</v>
      </c>
      <c r="F22" s="190">
        <v>2</v>
      </c>
      <c r="G22" s="190">
        <v>0</v>
      </c>
      <c r="H22" s="181"/>
      <c r="I22" s="243"/>
      <c r="J22" s="181"/>
      <c r="K22" s="181"/>
      <c r="L22" s="181">
        <v>3</v>
      </c>
      <c r="M22" s="181"/>
      <c r="N22" s="181"/>
      <c r="O22" s="240"/>
      <c r="P22" s="231"/>
      <c r="Q22" s="181">
        <v>3</v>
      </c>
      <c r="R22" s="181"/>
      <c r="S22" s="232"/>
      <c r="T22" s="231"/>
      <c r="U22" s="231"/>
    </row>
    <row r="23" spans="1:21" x14ac:dyDescent="0.25">
      <c r="A23" s="181">
        <v>2</v>
      </c>
      <c r="B23" s="181">
        <v>3</v>
      </c>
      <c r="C23" s="243" t="s">
        <v>326</v>
      </c>
      <c r="D23" s="148" t="s">
        <v>152</v>
      </c>
      <c r="E23" s="253">
        <v>1</v>
      </c>
      <c r="F23" s="190">
        <v>2</v>
      </c>
      <c r="G23" s="190">
        <v>2</v>
      </c>
      <c r="H23" s="181"/>
      <c r="I23" s="243"/>
      <c r="J23" s="181"/>
      <c r="K23" s="181"/>
      <c r="L23" s="181">
        <v>3</v>
      </c>
      <c r="M23" s="181"/>
      <c r="N23" s="181"/>
      <c r="O23" s="240"/>
      <c r="P23" s="231"/>
      <c r="Q23" s="181">
        <v>3</v>
      </c>
      <c r="R23" s="181"/>
      <c r="S23" s="181"/>
      <c r="T23" s="231"/>
      <c r="U23" s="231"/>
    </row>
    <row r="24" spans="1:21" x14ac:dyDescent="0.25">
      <c r="A24" s="181">
        <v>2</v>
      </c>
      <c r="B24" s="181">
        <v>3</v>
      </c>
      <c r="C24" s="243" t="s">
        <v>327</v>
      </c>
      <c r="D24" s="148" t="s">
        <v>153</v>
      </c>
      <c r="E24" s="253">
        <v>1</v>
      </c>
      <c r="F24" s="190">
        <v>2</v>
      </c>
      <c r="G24" s="190">
        <v>2</v>
      </c>
      <c r="H24" s="181" t="s">
        <v>356</v>
      </c>
      <c r="I24" s="243"/>
      <c r="J24" s="181"/>
      <c r="K24" s="181"/>
      <c r="L24" s="181">
        <v>3</v>
      </c>
      <c r="M24" s="181"/>
      <c r="N24" s="181"/>
      <c r="O24" s="240"/>
      <c r="P24" s="231"/>
      <c r="Q24" s="181">
        <v>3</v>
      </c>
      <c r="R24" s="181"/>
      <c r="S24" s="181"/>
      <c r="T24" s="231"/>
      <c r="U24" s="231"/>
    </row>
    <row r="25" spans="1:21" x14ac:dyDescent="0.25">
      <c r="A25" s="181">
        <v>3</v>
      </c>
      <c r="B25" s="181">
        <v>4</v>
      </c>
      <c r="C25" s="243" t="s">
        <v>328</v>
      </c>
      <c r="D25" s="148" t="s">
        <v>42</v>
      </c>
      <c r="E25" s="253">
        <v>2</v>
      </c>
      <c r="F25" s="190">
        <v>2</v>
      </c>
      <c r="G25" s="190">
        <v>0</v>
      </c>
      <c r="H25" s="181" t="s">
        <v>276</v>
      </c>
      <c r="I25" s="243"/>
      <c r="J25" s="181"/>
      <c r="K25" s="181"/>
      <c r="L25" s="181">
        <v>3</v>
      </c>
      <c r="M25" s="181"/>
      <c r="N25" s="181"/>
      <c r="O25" s="240"/>
      <c r="P25" s="231"/>
      <c r="Q25" s="231"/>
      <c r="R25" s="181">
        <v>3</v>
      </c>
      <c r="S25" s="181"/>
      <c r="T25" s="231"/>
      <c r="U25" s="231"/>
    </row>
    <row r="26" spans="1:21" x14ac:dyDescent="0.25">
      <c r="A26" s="181">
        <v>3</v>
      </c>
      <c r="B26" s="181">
        <v>5</v>
      </c>
      <c r="C26" s="243" t="s">
        <v>329</v>
      </c>
      <c r="D26" s="148" t="s">
        <v>49</v>
      </c>
      <c r="E26" s="253">
        <v>2</v>
      </c>
      <c r="F26" s="190">
        <v>1</v>
      </c>
      <c r="G26" s="190">
        <v>1</v>
      </c>
      <c r="H26" s="181" t="s">
        <v>278</v>
      </c>
      <c r="I26" s="243"/>
      <c r="J26" s="181"/>
      <c r="K26" s="181"/>
      <c r="L26" s="181">
        <v>3</v>
      </c>
      <c r="M26" s="181"/>
      <c r="N26" s="181"/>
      <c r="O26" s="240"/>
      <c r="P26" s="231"/>
      <c r="Q26" s="231"/>
      <c r="R26" s="181"/>
      <c r="S26" s="181">
        <v>3</v>
      </c>
      <c r="T26" s="231"/>
      <c r="U26" s="231"/>
    </row>
    <row r="27" spans="1:21" x14ac:dyDescent="0.25">
      <c r="A27" s="181">
        <v>3</v>
      </c>
      <c r="B27" s="181">
        <v>5</v>
      </c>
      <c r="C27" s="243" t="s">
        <v>330</v>
      </c>
      <c r="D27" s="148" t="s">
        <v>51</v>
      </c>
      <c r="E27" s="253">
        <v>2</v>
      </c>
      <c r="F27" s="190">
        <v>2</v>
      </c>
      <c r="G27" s="190">
        <v>0</v>
      </c>
      <c r="H27" s="181" t="s">
        <v>282</v>
      </c>
      <c r="I27" s="243"/>
      <c r="J27" s="181"/>
      <c r="K27" s="181"/>
      <c r="L27" s="181">
        <v>3</v>
      </c>
      <c r="M27" s="181"/>
      <c r="N27" s="181"/>
      <c r="O27" s="240"/>
      <c r="P27" s="231"/>
      <c r="Q27" s="231"/>
      <c r="R27" s="231"/>
      <c r="S27" s="181">
        <v>3</v>
      </c>
      <c r="T27" s="231"/>
      <c r="U27" s="231"/>
    </row>
    <row r="28" spans="1:21" x14ac:dyDescent="0.25">
      <c r="A28" s="181">
        <v>3</v>
      </c>
      <c r="B28" s="181">
        <v>6</v>
      </c>
      <c r="C28" s="243" t="s">
        <v>331</v>
      </c>
      <c r="D28" s="148" t="s">
        <v>154</v>
      </c>
      <c r="E28" s="253">
        <v>2</v>
      </c>
      <c r="F28" s="190">
        <v>2</v>
      </c>
      <c r="G28" s="190">
        <v>0</v>
      </c>
      <c r="H28" s="181" t="s">
        <v>277</v>
      </c>
      <c r="I28" s="243"/>
      <c r="J28" s="181"/>
      <c r="K28" s="181"/>
      <c r="L28" s="181">
        <v>3</v>
      </c>
      <c r="M28" s="181"/>
      <c r="N28" s="181"/>
      <c r="O28" s="240"/>
      <c r="P28" s="231"/>
      <c r="Q28" s="231"/>
      <c r="R28" s="231"/>
      <c r="S28" s="181">
        <v>3</v>
      </c>
      <c r="T28" s="231"/>
      <c r="U28" s="231"/>
    </row>
    <row r="29" spans="1:21" x14ac:dyDescent="0.25">
      <c r="A29" s="181">
        <v>3</v>
      </c>
      <c r="B29" s="181">
        <v>4</v>
      </c>
      <c r="C29" s="243" t="s">
        <v>332</v>
      </c>
      <c r="D29" s="148" t="s">
        <v>155</v>
      </c>
      <c r="E29" s="253">
        <v>2</v>
      </c>
      <c r="F29" s="190">
        <v>1</v>
      </c>
      <c r="G29" s="190">
        <v>1</v>
      </c>
      <c r="H29" s="181" t="s">
        <v>278</v>
      </c>
      <c r="I29" s="243"/>
      <c r="J29" s="181"/>
      <c r="K29" s="181"/>
      <c r="L29" s="181">
        <v>3</v>
      </c>
      <c r="M29" s="181"/>
      <c r="N29" s="181"/>
      <c r="O29" s="240"/>
      <c r="P29" s="231"/>
      <c r="Q29" s="181">
        <v>3</v>
      </c>
      <c r="R29" s="231"/>
      <c r="S29" s="231"/>
      <c r="T29" s="231"/>
      <c r="U29" s="231"/>
    </row>
    <row r="30" spans="1:21" x14ac:dyDescent="0.25">
      <c r="A30" s="181">
        <v>3</v>
      </c>
      <c r="B30" s="181">
        <v>4</v>
      </c>
      <c r="C30" s="243" t="s">
        <v>333</v>
      </c>
      <c r="D30" s="148" t="s">
        <v>156</v>
      </c>
      <c r="E30" s="253">
        <v>2</v>
      </c>
      <c r="F30" s="190">
        <v>2</v>
      </c>
      <c r="G30" s="190">
        <v>0</v>
      </c>
      <c r="H30" s="181"/>
      <c r="I30" s="243"/>
      <c r="J30" s="181"/>
      <c r="K30" s="181"/>
      <c r="L30" s="181">
        <v>3</v>
      </c>
      <c r="M30" s="181"/>
      <c r="N30" s="181"/>
      <c r="O30" s="240"/>
      <c r="P30" s="231"/>
      <c r="Q30" s="181">
        <v>3</v>
      </c>
      <c r="R30" s="181"/>
      <c r="S30" s="231"/>
      <c r="T30" s="231"/>
      <c r="U30" s="231"/>
    </row>
    <row r="31" spans="1:21" x14ac:dyDescent="0.25">
      <c r="A31" s="181">
        <v>3</v>
      </c>
      <c r="B31" s="181">
        <v>5</v>
      </c>
      <c r="C31" s="243" t="s">
        <v>334</v>
      </c>
      <c r="D31" s="148" t="s">
        <v>53</v>
      </c>
      <c r="E31" s="253">
        <v>2</v>
      </c>
      <c r="F31" s="190">
        <v>1</v>
      </c>
      <c r="G31" s="190">
        <v>1</v>
      </c>
      <c r="H31" s="181" t="s">
        <v>265</v>
      </c>
      <c r="I31" s="243"/>
      <c r="J31" s="181"/>
      <c r="K31" s="181"/>
      <c r="L31" s="181">
        <v>3</v>
      </c>
      <c r="M31" s="181"/>
      <c r="N31" s="181"/>
      <c r="O31" s="240"/>
      <c r="P31" s="231"/>
      <c r="Q31" s="181">
        <v>3</v>
      </c>
      <c r="R31" s="181"/>
      <c r="S31" s="231"/>
      <c r="T31" s="231"/>
      <c r="U31" s="231"/>
    </row>
    <row r="32" spans="1:21" x14ac:dyDescent="0.25">
      <c r="A32" s="181">
        <v>3</v>
      </c>
      <c r="B32" s="181">
        <v>4</v>
      </c>
      <c r="C32" s="243" t="s">
        <v>335</v>
      </c>
      <c r="D32" s="148" t="s">
        <v>157</v>
      </c>
      <c r="E32" s="253"/>
      <c r="F32" s="190"/>
      <c r="G32" s="190"/>
      <c r="H32" s="181"/>
      <c r="I32" s="243"/>
      <c r="J32" s="181"/>
      <c r="K32" s="181"/>
      <c r="L32" s="181">
        <v>0</v>
      </c>
      <c r="M32" s="181"/>
      <c r="N32" s="181"/>
      <c r="O32" s="240"/>
      <c r="P32" s="231"/>
      <c r="Q32" s="231"/>
      <c r="R32" s="231"/>
      <c r="S32" s="231"/>
      <c r="T32" s="181">
        <v>0</v>
      </c>
      <c r="U32" s="181"/>
    </row>
    <row r="33" spans="1:21" x14ac:dyDescent="0.25">
      <c r="A33" s="181">
        <v>3</v>
      </c>
      <c r="B33" s="181">
        <v>6</v>
      </c>
      <c r="C33" s="243" t="s">
        <v>336</v>
      </c>
      <c r="D33" s="148" t="s">
        <v>158</v>
      </c>
      <c r="E33" s="253"/>
      <c r="F33" s="190"/>
      <c r="G33" s="190"/>
      <c r="H33" s="181" t="s">
        <v>297</v>
      </c>
      <c r="I33" s="243"/>
      <c r="J33" s="181"/>
      <c r="K33" s="181"/>
      <c r="L33" s="181">
        <v>0</v>
      </c>
      <c r="M33" s="181"/>
      <c r="N33" s="181"/>
      <c r="O33" s="240"/>
      <c r="P33" s="231"/>
      <c r="Q33" s="231"/>
      <c r="R33" s="231"/>
      <c r="S33" s="181"/>
      <c r="T33" s="181">
        <v>0</v>
      </c>
      <c r="U33" s="181"/>
    </row>
    <row r="34" spans="1:21" x14ac:dyDescent="0.25">
      <c r="A34" s="181">
        <v>4</v>
      </c>
      <c r="B34" s="181">
        <v>6</v>
      </c>
      <c r="C34" s="243" t="s">
        <v>337</v>
      </c>
      <c r="D34" s="148" t="s">
        <v>159</v>
      </c>
      <c r="E34" s="253">
        <v>2</v>
      </c>
      <c r="F34" s="190">
        <v>2</v>
      </c>
      <c r="G34" s="190">
        <v>0</v>
      </c>
      <c r="H34" s="181" t="s">
        <v>283</v>
      </c>
      <c r="I34" s="243"/>
      <c r="J34" s="181"/>
      <c r="K34" s="181"/>
      <c r="L34" s="181">
        <v>3</v>
      </c>
      <c r="M34" s="181"/>
      <c r="N34" s="181"/>
      <c r="O34" s="240"/>
      <c r="P34" s="231"/>
      <c r="Q34" s="231"/>
      <c r="R34" s="231"/>
      <c r="S34" s="181">
        <v>3</v>
      </c>
      <c r="T34" s="231"/>
      <c r="U34" s="231"/>
    </row>
    <row r="35" spans="1:21" x14ac:dyDescent="0.25">
      <c r="A35" s="181">
        <v>4</v>
      </c>
      <c r="B35" s="181">
        <v>6</v>
      </c>
      <c r="C35" s="243" t="s">
        <v>338</v>
      </c>
      <c r="D35" s="148" t="s">
        <v>50</v>
      </c>
      <c r="E35" s="253">
        <v>2</v>
      </c>
      <c r="F35" s="190">
        <v>1</v>
      </c>
      <c r="G35" s="190">
        <v>1</v>
      </c>
      <c r="H35" s="181" t="s">
        <v>292</v>
      </c>
      <c r="I35" s="243"/>
      <c r="J35" s="181"/>
      <c r="K35" s="181"/>
      <c r="L35" s="181">
        <v>3</v>
      </c>
      <c r="M35" s="181"/>
      <c r="N35" s="181"/>
      <c r="O35" s="240"/>
      <c r="P35" s="231"/>
      <c r="Q35" s="181">
        <v>3</v>
      </c>
      <c r="R35" s="181"/>
      <c r="S35" s="231"/>
      <c r="T35" s="231"/>
      <c r="U35" s="231"/>
    </row>
    <row r="36" spans="1:21" x14ac:dyDescent="0.25">
      <c r="A36" s="181">
        <v>4</v>
      </c>
      <c r="B36" s="181">
        <v>6</v>
      </c>
      <c r="C36" s="243" t="s">
        <v>339</v>
      </c>
      <c r="D36" s="148" t="s">
        <v>160</v>
      </c>
      <c r="E36" s="253">
        <v>2</v>
      </c>
      <c r="F36" s="190">
        <v>1</v>
      </c>
      <c r="G36" s="190">
        <v>1</v>
      </c>
      <c r="H36" s="181"/>
      <c r="I36" s="243"/>
      <c r="J36" s="181"/>
      <c r="K36" s="181"/>
      <c r="L36" s="181">
        <v>3</v>
      </c>
      <c r="M36" s="181"/>
      <c r="N36" s="181"/>
      <c r="O36" s="240"/>
      <c r="P36" s="231"/>
      <c r="Q36" s="181">
        <v>3</v>
      </c>
      <c r="R36" s="231"/>
      <c r="S36" s="231"/>
      <c r="T36" s="231"/>
      <c r="U36" s="231"/>
    </row>
    <row r="37" spans="1:21" x14ac:dyDescent="0.25">
      <c r="A37" s="181">
        <v>4</v>
      </c>
      <c r="B37" s="181">
        <v>7</v>
      </c>
      <c r="C37" s="243" t="s">
        <v>340</v>
      </c>
      <c r="D37" s="148" t="s">
        <v>71</v>
      </c>
      <c r="E37" s="253">
        <v>1</v>
      </c>
      <c r="F37" s="190">
        <v>0</v>
      </c>
      <c r="G37" s="190">
        <v>4</v>
      </c>
      <c r="H37" s="181"/>
      <c r="I37" s="243"/>
      <c r="J37" s="181"/>
      <c r="K37" s="181"/>
      <c r="L37" s="181">
        <v>3</v>
      </c>
      <c r="M37" s="181"/>
      <c r="N37" s="181"/>
      <c r="O37" s="240"/>
      <c r="P37" s="231"/>
      <c r="Q37" s="231"/>
      <c r="R37" s="231"/>
      <c r="S37" s="231"/>
      <c r="T37" s="181">
        <v>3</v>
      </c>
      <c r="U37" s="181"/>
    </row>
    <row r="38" spans="1:21" x14ac:dyDescent="0.25">
      <c r="A38" s="181">
        <v>4</v>
      </c>
      <c r="B38" s="181">
        <v>8</v>
      </c>
      <c r="C38" s="243" t="s">
        <v>341</v>
      </c>
      <c r="D38" s="148" t="s">
        <v>161</v>
      </c>
      <c r="E38" s="253">
        <v>1</v>
      </c>
      <c r="F38" s="190">
        <v>0</v>
      </c>
      <c r="G38" s="190">
        <v>4</v>
      </c>
      <c r="H38" s="181" t="s">
        <v>317</v>
      </c>
      <c r="I38" s="243"/>
      <c r="J38" s="181"/>
      <c r="K38" s="181"/>
      <c r="L38" s="181">
        <v>3</v>
      </c>
      <c r="M38" s="181"/>
      <c r="N38" s="181"/>
      <c r="O38" s="240"/>
      <c r="P38" s="231"/>
      <c r="Q38" s="231"/>
      <c r="R38" s="231"/>
      <c r="S38" s="231"/>
      <c r="T38" s="181">
        <v>3</v>
      </c>
      <c r="U38" s="181"/>
    </row>
    <row r="39" spans="1:21" x14ac:dyDescent="0.25">
      <c r="A39" s="181">
        <v>1</v>
      </c>
      <c r="B39" s="181">
        <v>2</v>
      </c>
      <c r="C39" s="243" t="s">
        <v>162</v>
      </c>
      <c r="D39" s="148" t="s">
        <v>163</v>
      </c>
      <c r="E39" s="253">
        <v>2</v>
      </c>
      <c r="F39" s="190">
        <v>1</v>
      </c>
      <c r="G39" s="190">
        <v>1</v>
      </c>
      <c r="H39" s="181"/>
      <c r="I39" s="243"/>
      <c r="J39" s="181"/>
      <c r="K39" s="181"/>
      <c r="L39" s="181">
        <v>3</v>
      </c>
      <c r="M39" s="181"/>
      <c r="N39" s="181"/>
      <c r="O39" s="240"/>
      <c r="P39" s="181">
        <v>3</v>
      </c>
      <c r="Q39" s="232"/>
      <c r="R39" s="232"/>
      <c r="S39" s="232"/>
      <c r="T39" s="181"/>
      <c r="U39" s="181"/>
    </row>
    <row r="40" spans="1:21" x14ac:dyDescent="0.25">
      <c r="A40" s="181">
        <v>1</v>
      </c>
      <c r="B40" s="181">
        <v>2</v>
      </c>
      <c r="C40" s="243" t="s">
        <v>352</v>
      </c>
      <c r="D40" s="148" t="s">
        <v>26</v>
      </c>
      <c r="E40" s="253">
        <v>2</v>
      </c>
      <c r="F40" s="190">
        <v>2</v>
      </c>
      <c r="G40" s="190">
        <v>0</v>
      </c>
      <c r="H40" s="181" t="s">
        <v>268</v>
      </c>
      <c r="I40" s="243"/>
      <c r="J40" s="181"/>
      <c r="K40" s="181"/>
      <c r="L40" s="181">
        <v>3</v>
      </c>
      <c r="M40" s="181"/>
      <c r="N40" s="181"/>
      <c r="O40" s="240"/>
      <c r="P40" s="181">
        <v>3</v>
      </c>
      <c r="Q40" s="232"/>
      <c r="R40" s="232"/>
      <c r="S40" s="232"/>
      <c r="T40" s="181"/>
      <c r="U40" s="181"/>
    </row>
    <row r="41" spans="1:21" x14ac:dyDescent="0.25">
      <c r="A41" s="181">
        <v>2</v>
      </c>
      <c r="B41" s="181">
        <v>4</v>
      </c>
      <c r="C41" s="243" t="s">
        <v>353</v>
      </c>
      <c r="D41" s="148" t="s">
        <v>38</v>
      </c>
      <c r="E41" s="253">
        <v>2</v>
      </c>
      <c r="F41" s="190">
        <v>2</v>
      </c>
      <c r="G41" s="190">
        <v>0</v>
      </c>
      <c r="H41" s="181" t="s">
        <v>262</v>
      </c>
      <c r="I41" s="243"/>
      <c r="J41" s="181"/>
      <c r="K41" s="181"/>
      <c r="L41" s="181">
        <v>3</v>
      </c>
      <c r="M41" s="181"/>
      <c r="N41" s="181"/>
      <c r="O41" s="240"/>
      <c r="P41" s="181">
        <v>3</v>
      </c>
      <c r="Q41" s="232"/>
      <c r="R41" s="232"/>
      <c r="S41" s="232"/>
      <c r="T41" s="181"/>
      <c r="U41" s="181"/>
    </row>
    <row r="42" spans="1:21" x14ac:dyDescent="0.25">
      <c r="A42" s="181">
        <v>2</v>
      </c>
      <c r="B42" s="181">
        <v>7</v>
      </c>
      <c r="C42" s="243" t="s">
        <v>354</v>
      </c>
      <c r="D42" s="148" t="s">
        <v>65</v>
      </c>
      <c r="E42" s="253">
        <v>2</v>
      </c>
      <c r="F42" s="190">
        <v>2</v>
      </c>
      <c r="G42" s="190">
        <v>0</v>
      </c>
      <c r="H42" s="181" t="s">
        <v>269</v>
      </c>
      <c r="I42" s="243"/>
      <c r="J42" s="181"/>
      <c r="K42" s="181"/>
      <c r="L42" s="181">
        <v>3</v>
      </c>
      <c r="M42" s="181"/>
      <c r="N42" s="181"/>
      <c r="O42" s="240"/>
      <c r="P42" s="181">
        <v>3</v>
      </c>
      <c r="Q42" s="232"/>
      <c r="R42" s="232"/>
      <c r="S42" s="232"/>
      <c r="T42" s="181"/>
      <c r="U42" s="181"/>
    </row>
    <row r="43" spans="1:21" x14ac:dyDescent="0.25">
      <c r="A43" s="183">
        <v>3</v>
      </c>
      <c r="B43" s="183">
        <v>5</v>
      </c>
      <c r="C43" s="244" t="s">
        <v>342</v>
      </c>
      <c r="D43" s="182" t="s">
        <v>55</v>
      </c>
      <c r="E43" s="254">
        <v>2</v>
      </c>
      <c r="F43" s="192">
        <v>2</v>
      </c>
      <c r="G43" s="192">
        <v>0</v>
      </c>
      <c r="H43" s="183" t="s">
        <v>279</v>
      </c>
      <c r="I43" s="244"/>
      <c r="J43" s="183"/>
      <c r="K43" s="183"/>
      <c r="L43" s="183"/>
      <c r="M43" s="183">
        <v>3</v>
      </c>
      <c r="N43" s="183"/>
      <c r="O43" s="241"/>
      <c r="P43" s="233"/>
      <c r="Q43" s="233"/>
      <c r="R43" s="233"/>
      <c r="S43" s="183">
        <v>3</v>
      </c>
      <c r="T43" s="233"/>
      <c r="U43" s="233"/>
    </row>
    <row r="44" spans="1:21" x14ac:dyDescent="0.25">
      <c r="A44" s="183">
        <v>3</v>
      </c>
      <c r="B44" s="183">
        <v>5</v>
      </c>
      <c r="C44" s="244" t="s">
        <v>343</v>
      </c>
      <c r="D44" s="182" t="s">
        <v>57</v>
      </c>
      <c r="E44" s="254">
        <v>2</v>
      </c>
      <c r="F44" s="192">
        <v>2</v>
      </c>
      <c r="G44" s="192">
        <v>0</v>
      </c>
      <c r="H44" s="183"/>
      <c r="I44" s="244"/>
      <c r="J44" s="183"/>
      <c r="K44" s="183"/>
      <c r="L44" s="183"/>
      <c r="M44" s="183">
        <v>3</v>
      </c>
      <c r="N44" s="183"/>
      <c r="O44" s="241"/>
      <c r="P44" s="233"/>
      <c r="Q44" s="183">
        <v>3</v>
      </c>
      <c r="R44" s="183"/>
      <c r="S44" s="233"/>
      <c r="T44" s="233"/>
      <c r="U44" s="233"/>
    </row>
    <row r="45" spans="1:21" x14ac:dyDescent="0.25">
      <c r="A45" s="183">
        <v>3</v>
      </c>
      <c r="B45" s="183">
        <v>6</v>
      </c>
      <c r="C45" s="244" t="s">
        <v>344</v>
      </c>
      <c r="D45" s="182" t="s">
        <v>164</v>
      </c>
      <c r="E45" s="254">
        <v>2</v>
      </c>
      <c r="F45" s="192">
        <v>1</v>
      </c>
      <c r="G45" s="192">
        <v>1</v>
      </c>
      <c r="H45" s="183"/>
      <c r="I45" s="244"/>
      <c r="J45" s="183"/>
      <c r="K45" s="183"/>
      <c r="L45" s="183"/>
      <c r="M45" s="183">
        <v>3</v>
      </c>
      <c r="N45" s="183"/>
      <c r="O45" s="241"/>
      <c r="P45" s="233"/>
      <c r="Q45" s="233"/>
      <c r="R45" s="233"/>
      <c r="S45" s="183">
        <v>3</v>
      </c>
      <c r="T45" s="233"/>
      <c r="U45" s="233"/>
    </row>
    <row r="46" spans="1:21" x14ac:dyDescent="0.25">
      <c r="A46" s="183">
        <v>4</v>
      </c>
      <c r="B46" s="183">
        <v>5</v>
      </c>
      <c r="C46" s="244" t="s">
        <v>345</v>
      </c>
      <c r="D46" s="182" t="s">
        <v>165</v>
      </c>
      <c r="E46" s="254">
        <v>2</v>
      </c>
      <c r="F46" s="192">
        <v>2</v>
      </c>
      <c r="G46" s="192">
        <v>0</v>
      </c>
      <c r="H46" s="183" t="s">
        <v>288</v>
      </c>
      <c r="I46" s="244"/>
      <c r="J46" s="183"/>
      <c r="K46" s="183"/>
      <c r="L46" s="183"/>
      <c r="M46" s="183">
        <v>3</v>
      </c>
      <c r="N46" s="183"/>
      <c r="O46" s="241"/>
      <c r="P46" s="233"/>
      <c r="Q46" s="233"/>
      <c r="R46" s="233"/>
      <c r="S46" s="183">
        <v>3</v>
      </c>
      <c r="T46" s="233"/>
      <c r="U46" s="233"/>
    </row>
    <row r="47" spans="1:21" x14ac:dyDescent="0.25">
      <c r="A47" s="183">
        <v>4</v>
      </c>
      <c r="B47" s="183">
        <v>6</v>
      </c>
      <c r="C47" s="244" t="s">
        <v>346</v>
      </c>
      <c r="D47" s="182" t="s">
        <v>191</v>
      </c>
      <c r="E47" s="254">
        <v>2</v>
      </c>
      <c r="F47" s="192">
        <v>2</v>
      </c>
      <c r="G47" s="192">
        <v>0</v>
      </c>
      <c r="H47" s="183"/>
      <c r="I47" s="244"/>
      <c r="J47" s="183"/>
      <c r="K47" s="183"/>
      <c r="L47" s="183"/>
      <c r="M47" s="183">
        <v>3</v>
      </c>
      <c r="N47" s="183"/>
      <c r="O47" s="241"/>
      <c r="P47" s="233"/>
      <c r="Q47" s="233"/>
      <c r="R47" s="233"/>
      <c r="S47" s="183">
        <v>3</v>
      </c>
      <c r="T47" s="233"/>
      <c r="U47" s="233"/>
    </row>
    <row r="48" spans="1:21" x14ac:dyDescent="0.25">
      <c r="A48" s="183">
        <v>4</v>
      </c>
      <c r="B48" s="183">
        <v>7</v>
      </c>
      <c r="C48" s="244" t="s">
        <v>347</v>
      </c>
      <c r="D48" s="182" t="s">
        <v>67</v>
      </c>
      <c r="E48" s="254">
        <v>2</v>
      </c>
      <c r="F48" s="192">
        <v>2</v>
      </c>
      <c r="G48" s="192">
        <v>0</v>
      </c>
      <c r="H48" s="183" t="s">
        <v>303</v>
      </c>
      <c r="I48" s="244"/>
      <c r="J48" s="183"/>
      <c r="K48" s="183"/>
      <c r="L48" s="183"/>
      <c r="M48" s="183">
        <v>3</v>
      </c>
      <c r="N48" s="183"/>
      <c r="O48" s="241"/>
      <c r="P48" s="233"/>
      <c r="Q48" s="233"/>
      <c r="R48" s="233"/>
      <c r="S48" s="183">
        <v>3</v>
      </c>
      <c r="T48" s="233"/>
      <c r="U48" s="233"/>
    </row>
    <row r="49" spans="1:21" x14ac:dyDescent="0.25">
      <c r="A49" s="183">
        <v>4</v>
      </c>
      <c r="B49" s="183">
        <v>7</v>
      </c>
      <c r="C49" s="244" t="s">
        <v>348</v>
      </c>
      <c r="D49" s="182" t="s">
        <v>168</v>
      </c>
      <c r="E49" s="254">
        <v>2</v>
      </c>
      <c r="F49" s="192">
        <v>2</v>
      </c>
      <c r="G49" s="192">
        <v>0</v>
      </c>
      <c r="H49" s="183" t="s">
        <v>304</v>
      </c>
      <c r="I49" s="244"/>
      <c r="J49" s="183"/>
      <c r="K49" s="183"/>
      <c r="L49" s="183"/>
      <c r="M49" s="183">
        <v>3</v>
      </c>
      <c r="N49" s="183"/>
      <c r="O49" s="241"/>
      <c r="P49" s="233"/>
      <c r="Q49" s="233"/>
      <c r="R49" s="233"/>
      <c r="S49" s="183">
        <v>3</v>
      </c>
      <c r="T49" s="233"/>
      <c r="U49" s="233"/>
    </row>
    <row r="50" spans="1:21" x14ac:dyDescent="0.25">
      <c r="A50" s="183">
        <v>4</v>
      </c>
      <c r="B50" s="183">
        <v>7</v>
      </c>
      <c r="C50" s="275" t="s">
        <v>381</v>
      </c>
      <c r="D50" s="276" t="s">
        <v>382</v>
      </c>
      <c r="E50" s="254">
        <v>2</v>
      </c>
      <c r="F50" s="277">
        <v>2</v>
      </c>
      <c r="G50" s="277">
        <v>0</v>
      </c>
      <c r="H50" s="278"/>
      <c r="I50" s="244"/>
      <c r="J50" s="183"/>
      <c r="K50" s="183"/>
      <c r="L50" s="183"/>
      <c r="M50" s="183"/>
      <c r="N50" s="183">
        <v>3</v>
      </c>
      <c r="O50" s="241"/>
      <c r="P50" s="279">
        <v>3</v>
      </c>
      <c r="Q50" s="233"/>
      <c r="R50" s="233"/>
      <c r="S50" s="183"/>
      <c r="T50" s="233"/>
      <c r="U50" s="233"/>
    </row>
    <row r="51" spans="1:21" x14ac:dyDescent="0.25">
      <c r="A51" s="183">
        <v>4</v>
      </c>
      <c r="B51" s="183">
        <v>7</v>
      </c>
      <c r="C51" s="275" t="s">
        <v>318</v>
      </c>
      <c r="D51" s="276" t="s">
        <v>116</v>
      </c>
      <c r="E51" s="254">
        <v>2</v>
      </c>
      <c r="F51" s="192">
        <v>1</v>
      </c>
      <c r="G51" s="192">
        <v>1</v>
      </c>
      <c r="H51" s="183"/>
      <c r="I51" s="244"/>
      <c r="J51" s="183"/>
      <c r="K51" s="183"/>
      <c r="L51" s="183"/>
      <c r="M51" s="183"/>
      <c r="N51" s="183">
        <v>3</v>
      </c>
      <c r="O51" s="241"/>
      <c r="P51" s="233"/>
      <c r="Q51" s="233"/>
      <c r="R51" s="233"/>
      <c r="S51" s="183">
        <v>3</v>
      </c>
      <c r="T51" s="233"/>
      <c r="U51" s="233"/>
    </row>
    <row r="52" spans="1:21" x14ac:dyDescent="0.25">
      <c r="A52" s="183">
        <v>4</v>
      </c>
      <c r="B52" s="183">
        <v>8</v>
      </c>
      <c r="C52" s="275" t="s">
        <v>319</v>
      </c>
      <c r="D52" s="276" t="s">
        <v>117</v>
      </c>
      <c r="E52" s="254">
        <v>2</v>
      </c>
      <c r="F52" s="192">
        <v>1</v>
      </c>
      <c r="G52" s="192">
        <v>1</v>
      </c>
      <c r="H52" s="183"/>
      <c r="I52" s="244"/>
      <c r="J52" s="183"/>
      <c r="K52" s="183"/>
      <c r="L52" s="183"/>
      <c r="M52" s="183"/>
      <c r="N52" s="183">
        <v>3</v>
      </c>
      <c r="O52" s="241"/>
      <c r="P52" s="233"/>
      <c r="Q52" s="233"/>
      <c r="R52" s="233"/>
      <c r="S52" s="183">
        <v>3</v>
      </c>
      <c r="T52" s="233"/>
      <c r="U52" s="233"/>
    </row>
    <row r="53" spans="1:21" x14ac:dyDescent="0.25">
      <c r="A53" s="183">
        <v>4</v>
      </c>
      <c r="B53" s="183">
        <v>8</v>
      </c>
      <c r="C53" s="275" t="s">
        <v>320</v>
      </c>
      <c r="D53" s="276" t="s">
        <v>118</v>
      </c>
      <c r="E53" s="254">
        <v>2</v>
      </c>
      <c r="F53" s="192">
        <v>1</v>
      </c>
      <c r="G53" s="192">
        <v>1</v>
      </c>
      <c r="H53" s="183"/>
      <c r="I53" s="244"/>
      <c r="J53" s="183"/>
      <c r="K53" s="183"/>
      <c r="L53" s="183"/>
      <c r="M53" s="183"/>
      <c r="N53" s="183">
        <v>3</v>
      </c>
      <c r="O53" s="241"/>
      <c r="P53" s="233"/>
      <c r="Q53" s="233"/>
      <c r="R53" s="233"/>
      <c r="S53" s="183">
        <v>3</v>
      </c>
      <c r="T53" s="233"/>
      <c r="U53" s="233"/>
    </row>
    <row r="54" spans="1:21" x14ac:dyDescent="0.25">
      <c r="A54" s="183">
        <v>4</v>
      </c>
      <c r="B54" s="183">
        <v>8</v>
      </c>
      <c r="C54" s="275" t="s">
        <v>321</v>
      </c>
      <c r="D54" s="276" t="s">
        <v>119</v>
      </c>
      <c r="E54" s="254">
        <v>2</v>
      </c>
      <c r="F54" s="192">
        <v>1</v>
      </c>
      <c r="G54" s="192">
        <v>1</v>
      </c>
      <c r="H54" s="183"/>
      <c r="I54" s="244"/>
      <c r="J54" s="183"/>
      <c r="K54" s="183"/>
      <c r="L54" s="183"/>
      <c r="M54" s="183"/>
      <c r="N54" s="183">
        <v>3</v>
      </c>
      <c r="O54" s="241"/>
      <c r="P54" s="233"/>
      <c r="Q54" s="233"/>
      <c r="R54" s="233"/>
      <c r="S54" s="183">
        <v>3</v>
      </c>
      <c r="T54" s="233"/>
      <c r="U54" s="233"/>
    </row>
    <row r="55" spans="1:21" x14ac:dyDescent="0.25">
      <c r="I55" s="245">
        <f t="shared" ref="I55:U55" si="0">SUM(I3:I54)</f>
        <v>9</v>
      </c>
      <c r="J55" s="156">
        <f t="shared" si="0"/>
        <v>9</v>
      </c>
      <c r="K55" s="156">
        <f t="shared" si="0"/>
        <v>24</v>
      </c>
      <c r="L55" s="156">
        <f t="shared" si="0"/>
        <v>66</v>
      </c>
      <c r="M55" s="156">
        <f t="shared" si="0"/>
        <v>21</v>
      </c>
      <c r="N55" s="156">
        <f t="shared" si="0"/>
        <v>15</v>
      </c>
      <c r="O55" s="245">
        <f t="shared" si="0"/>
        <v>15</v>
      </c>
      <c r="P55" s="156">
        <f t="shared" si="0"/>
        <v>30</v>
      </c>
      <c r="Q55" s="156">
        <f t="shared" si="0"/>
        <v>39</v>
      </c>
      <c r="R55" s="156">
        <f t="shared" si="0"/>
        <v>9</v>
      </c>
      <c r="S55" s="156">
        <f t="shared" si="0"/>
        <v>45</v>
      </c>
      <c r="T55" s="156">
        <f t="shared" si="0"/>
        <v>6</v>
      </c>
      <c r="U55" s="156">
        <f t="shared" si="0"/>
        <v>0</v>
      </c>
    </row>
    <row r="56" spans="1:21" x14ac:dyDescent="0.25">
      <c r="I56" s="246">
        <f t="shared" ref="I56:U56" si="1">I55/144</f>
        <v>6.25E-2</v>
      </c>
      <c r="J56" s="171">
        <f t="shared" si="1"/>
        <v>6.25E-2</v>
      </c>
      <c r="K56" s="171">
        <f t="shared" si="1"/>
        <v>0.16666666666666666</v>
      </c>
      <c r="L56" s="171">
        <f t="shared" si="1"/>
        <v>0.45833333333333331</v>
      </c>
      <c r="M56" s="171">
        <f t="shared" si="1"/>
        <v>0.14583333333333334</v>
      </c>
      <c r="N56" s="171">
        <f t="shared" si="1"/>
        <v>0.10416666666666667</v>
      </c>
      <c r="O56" s="246">
        <f t="shared" si="1"/>
        <v>0.10416666666666667</v>
      </c>
      <c r="P56" s="171">
        <f t="shared" si="1"/>
        <v>0.20833333333333334</v>
      </c>
      <c r="Q56" s="171">
        <f t="shared" si="1"/>
        <v>0.27083333333333331</v>
      </c>
      <c r="R56" s="171">
        <f t="shared" si="1"/>
        <v>6.25E-2</v>
      </c>
      <c r="S56" s="171">
        <f t="shared" si="1"/>
        <v>0.3125</v>
      </c>
      <c r="T56" s="171">
        <f t="shared" si="1"/>
        <v>4.1666666666666664E-2</v>
      </c>
      <c r="U56" s="171">
        <f t="shared" si="1"/>
        <v>0</v>
      </c>
    </row>
    <row r="57" spans="1:21" x14ac:dyDescent="0.25">
      <c r="I57" s="245"/>
      <c r="O57" s="248"/>
      <c r="P57" s="172"/>
      <c r="Q57" s="172"/>
      <c r="R57" s="172"/>
      <c r="S57" s="172"/>
      <c r="T57" s="173"/>
      <c r="U57" s="173"/>
    </row>
    <row r="58" spans="1:21" x14ac:dyDescent="0.25">
      <c r="I58" s="247">
        <f>SUM(I56:N56)</f>
        <v>1</v>
      </c>
      <c r="O58" s="247">
        <f>SUM(O56:U56)</f>
        <v>0.99999999999999989</v>
      </c>
      <c r="P58" s="172"/>
      <c r="Q58" s="172"/>
      <c r="R58" s="172"/>
      <c r="S58" s="173"/>
      <c r="T58" s="173"/>
      <c r="U58" s="173"/>
    </row>
    <row r="59" spans="1:21" x14ac:dyDescent="0.25">
      <c r="I59" s="245">
        <f>SUM(I55:N55)</f>
        <v>144</v>
      </c>
      <c r="O59" s="248">
        <f>SUM(O55:U55)</f>
        <v>144</v>
      </c>
      <c r="P59" s="172"/>
      <c r="Q59" s="172"/>
      <c r="R59" s="172"/>
      <c r="S59" s="173"/>
      <c r="T59" s="172"/>
      <c r="U59" s="172"/>
    </row>
    <row r="60" spans="1:21" x14ac:dyDescent="0.25">
      <c r="O60" s="174"/>
      <c r="P60" s="172"/>
      <c r="Q60" s="173"/>
      <c r="R60" s="173"/>
      <c r="S60" s="172"/>
      <c r="T60" s="172"/>
      <c r="U60" s="172"/>
    </row>
    <row r="61" spans="1:21" x14ac:dyDescent="0.25">
      <c r="O61" s="174"/>
      <c r="P61" s="172"/>
      <c r="Q61" s="172"/>
      <c r="R61" s="172"/>
      <c r="S61" s="173"/>
      <c r="T61" s="172"/>
      <c r="U61" s="172"/>
    </row>
    <row r="62" spans="1:21" x14ac:dyDescent="0.25">
      <c r="O62" s="174"/>
      <c r="P62" s="172"/>
      <c r="Q62" s="172"/>
      <c r="R62" s="172"/>
      <c r="S62" s="172"/>
      <c r="T62" s="173"/>
      <c r="U62" s="173"/>
    </row>
    <row r="63" spans="1:21" x14ac:dyDescent="0.25">
      <c r="O63" s="174"/>
      <c r="P63" s="172"/>
      <c r="Q63" s="172"/>
      <c r="R63" s="172"/>
      <c r="S63" s="172"/>
      <c r="T63" s="173"/>
      <c r="U63" s="173"/>
    </row>
    <row r="64" spans="1:21" x14ac:dyDescent="0.25">
      <c r="O64" s="174"/>
      <c r="P64" s="173"/>
      <c r="Q64" s="174"/>
      <c r="R64" s="174"/>
      <c r="S64" s="174"/>
      <c r="T64" s="173"/>
      <c r="U64" s="173"/>
    </row>
    <row r="65" spans="15:21" x14ac:dyDescent="0.25">
      <c r="O65" s="174"/>
      <c r="P65" s="173"/>
      <c r="Q65" s="174"/>
      <c r="R65" s="174"/>
      <c r="S65" s="174"/>
      <c r="T65" s="173"/>
      <c r="U65" s="173"/>
    </row>
    <row r="66" spans="15:21" x14ac:dyDescent="0.25">
      <c r="O66" s="174"/>
      <c r="P66" s="173"/>
      <c r="Q66" s="174"/>
      <c r="R66" s="174"/>
      <c r="S66" s="174"/>
      <c r="T66" s="173"/>
      <c r="U66" s="173"/>
    </row>
    <row r="67" spans="15:21" x14ac:dyDescent="0.25">
      <c r="O67" s="174"/>
      <c r="P67" s="173"/>
      <c r="Q67" s="174"/>
      <c r="R67" s="174"/>
      <c r="S67" s="174"/>
      <c r="T67" s="173"/>
      <c r="U67" s="173"/>
    </row>
  </sheetData>
  <autoFilter ref="A2:U56" xr:uid="{5DDD75C9-82D3-4996-A42F-3DA9A7994D5E}"/>
  <pageMargins left="0.16" right="0.16" top="1.07" bottom="0.16" header="0.16" footer="0.16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12651-A50D-4369-8E84-A02EBB8CD2F7}">
  <sheetPr>
    <tabColor rgb="FFFFFF00"/>
    <pageSetUpPr fitToPage="1"/>
  </sheetPr>
  <dimension ref="A1:AM60"/>
  <sheetViews>
    <sheetView topLeftCell="F15" zoomScale="60" zoomScaleNormal="60" workbookViewId="0">
      <selection activeCell="AN50" sqref="AN50"/>
    </sheetView>
  </sheetViews>
  <sheetFormatPr defaultRowHeight="13.2" x14ac:dyDescent="0.25"/>
  <cols>
    <col min="1" max="1" width="32.6640625" style="155" bestFit="1" customWidth="1"/>
    <col min="2" max="2" width="11" style="155" customWidth="1"/>
    <col min="3" max="3" width="8.88671875" style="155"/>
    <col min="4" max="4" width="37.109375" style="155" bestFit="1" customWidth="1"/>
    <col min="5" max="11" width="8.88671875" style="155"/>
    <col min="12" max="12" width="11.77734375" style="155" bestFit="1" customWidth="1"/>
    <col min="13" max="13" width="48.77734375" style="155" bestFit="1" customWidth="1"/>
    <col min="14" max="16384" width="8.88671875" style="155"/>
  </cols>
  <sheetData>
    <row r="1" spans="1:39" ht="94.2" customHeight="1" x14ac:dyDescent="0.25">
      <c r="A1" s="156" t="s">
        <v>114</v>
      </c>
      <c r="B1" s="156"/>
    </row>
    <row r="2" spans="1:39" ht="14.4" customHeight="1" x14ac:dyDescent="0.25">
      <c r="A2" s="158" t="s">
        <v>10</v>
      </c>
      <c r="B2" s="166"/>
      <c r="H2" s="157"/>
      <c r="I2" s="157"/>
      <c r="J2" s="157"/>
    </row>
    <row r="3" spans="1:39" ht="15" customHeight="1" x14ac:dyDescent="0.25">
      <c r="A3" s="160" t="s">
        <v>12</v>
      </c>
      <c r="B3" s="175"/>
      <c r="E3" s="184" t="s">
        <v>6</v>
      </c>
      <c r="F3" s="184" t="s">
        <v>7</v>
      </c>
      <c r="G3" s="184" t="s">
        <v>8</v>
      </c>
      <c r="H3" s="185" t="s">
        <v>3</v>
      </c>
      <c r="I3" s="185" t="s">
        <v>4</v>
      </c>
      <c r="J3" s="185" t="s">
        <v>5</v>
      </c>
      <c r="N3" s="159" t="s">
        <v>131</v>
      </c>
      <c r="O3" s="159" t="s">
        <v>132</v>
      </c>
      <c r="P3" s="159" t="s">
        <v>133</v>
      </c>
      <c r="Q3" s="159" t="s">
        <v>134</v>
      </c>
      <c r="R3" s="159" t="s">
        <v>135</v>
      </c>
      <c r="S3" s="159" t="s">
        <v>136</v>
      </c>
      <c r="T3" s="159" t="s">
        <v>137</v>
      </c>
      <c r="U3" s="159" t="s">
        <v>138</v>
      </c>
      <c r="V3" s="159" t="s">
        <v>139</v>
      </c>
      <c r="W3" s="159" t="s">
        <v>140</v>
      </c>
      <c r="X3" s="159" t="s">
        <v>141</v>
      </c>
      <c r="Y3" s="159" t="s">
        <v>142</v>
      </c>
      <c r="Z3" s="159" t="s">
        <v>143</v>
      </c>
      <c r="AA3" s="159" t="s">
        <v>144</v>
      </c>
      <c r="AB3" s="159" t="s">
        <v>145</v>
      </c>
      <c r="AC3" s="159" t="s">
        <v>146</v>
      </c>
      <c r="AD3" s="159" t="s">
        <v>147</v>
      </c>
      <c r="AE3" s="159" t="s">
        <v>148</v>
      </c>
      <c r="AF3" s="159" t="s">
        <v>149</v>
      </c>
      <c r="AG3" s="159" t="s">
        <v>150</v>
      </c>
      <c r="AH3" s="159" t="s">
        <v>169</v>
      </c>
      <c r="AI3" s="159" t="s">
        <v>170</v>
      </c>
      <c r="AJ3" s="159" t="s">
        <v>171</v>
      </c>
      <c r="AK3" s="159" t="s">
        <v>172</v>
      </c>
      <c r="AL3" s="159" t="s">
        <v>173</v>
      </c>
    </row>
    <row r="4" spans="1:39" x14ac:dyDescent="0.25">
      <c r="A4" s="162" t="s">
        <v>14</v>
      </c>
      <c r="B4" s="166"/>
      <c r="C4" s="257" t="s">
        <v>178</v>
      </c>
      <c r="D4" s="177" t="s">
        <v>24</v>
      </c>
      <c r="E4" s="146"/>
      <c r="F4" s="146"/>
      <c r="G4" s="146"/>
      <c r="H4" s="146">
        <v>0</v>
      </c>
      <c r="I4" s="146">
        <v>0</v>
      </c>
      <c r="J4" s="146"/>
      <c r="L4" s="151" t="s">
        <v>322</v>
      </c>
      <c r="M4" s="151" t="s">
        <v>32</v>
      </c>
      <c r="N4" s="161"/>
      <c r="O4" s="161"/>
      <c r="P4" s="161"/>
      <c r="Q4" s="161"/>
      <c r="R4" s="161"/>
      <c r="S4" s="161"/>
      <c r="T4" s="161" t="s">
        <v>151</v>
      </c>
      <c r="U4" s="161"/>
      <c r="V4" s="161"/>
      <c r="W4" s="161"/>
      <c r="X4" s="161"/>
      <c r="Y4" s="161"/>
      <c r="Z4" s="161"/>
      <c r="AA4" s="161"/>
      <c r="AB4" s="161"/>
      <c r="AC4" s="161"/>
      <c r="AD4" s="161" t="s">
        <v>151</v>
      </c>
      <c r="AE4" s="161" t="s">
        <v>151</v>
      </c>
      <c r="AF4" s="161"/>
      <c r="AG4" s="161"/>
      <c r="AH4" s="161"/>
      <c r="AI4" s="161"/>
      <c r="AJ4" s="161"/>
      <c r="AK4" s="161"/>
      <c r="AL4" s="161"/>
      <c r="AM4" s="194">
        <f>COUNTIF(N4:AL4,"*X*")</f>
        <v>3</v>
      </c>
    </row>
    <row r="5" spans="1:39" x14ac:dyDescent="0.25">
      <c r="A5" s="163" t="s">
        <v>103</v>
      </c>
      <c r="B5" s="166"/>
      <c r="C5" s="257" t="s">
        <v>179</v>
      </c>
      <c r="D5" s="177" t="s">
        <v>25</v>
      </c>
      <c r="E5" s="146"/>
      <c r="F5" s="146"/>
      <c r="G5" s="146"/>
      <c r="H5" s="146">
        <v>0</v>
      </c>
      <c r="I5" s="146">
        <v>0</v>
      </c>
      <c r="J5" s="146"/>
      <c r="L5" s="151" t="s">
        <v>323</v>
      </c>
      <c r="M5" s="151" t="s">
        <v>45</v>
      </c>
      <c r="N5" s="161"/>
      <c r="O5" s="161"/>
      <c r="P5" s="161"/>
      <c r="Q5" s="161"/>
      <c r="R5" s="161"/>
      <c r="S5" s="161"/>
      <c r="T5" s="161" t="s">
        <v>151</v>
      </c>
      <c r="U5" s="161"/>
      <c r="V5" s="161"/>
      <c r="W5" s="161"/>
      <c r="X5" s="161"/>
      <c r="Y5" s="161"/>
      <c r="Z5" s="161"/>
      <c r="AA5" s="161"/>
      <c r="AB5" s="161"/>
      <c r="AC5" s="161"/>
      <c r="AD5" s="161" t="s">
        <v>151</v>
      </c>
      <c r="AE5" s="161" t="s">
        <v>151</v>
      </c>
      <c r="AF5" s="161"/>
      <c r="AG5" s="161"/>
      <c r="AH5" s="161"/>
      <c r="AI5" s="161"/>
      <c r="AJ5" s="161"/>
      <c r="AK5" s="161"/>
      <c r="AL5" s="161"/>
      <c r="AM5" s="194">
        <f t="shared" ref="AM5:AM37" si="0">COUNTIF(N5:AL5,"*X*")</f>
        <v>3</v>
      </c>
    </row>
    <row r="6" spans="1:39" x14ac:dyDescent="0.25">
      <c r="A6" s="164" t="s">
        <v>113</v>
      </c>
      <c r="B6" s="166"/>
      <c r="C6" s="257" t="s">
        <v>180</v>
      </c>
      <c r="D6" s="177" t="s">
        <v>35</v>
      </c>
      <c r="E6" s="146">
        <v>3</v>
      </c>
      <c r="F6" s="146">
        <v>0</v>
      </c>
      <c r="G6" s="146">
        <v>0</v>
      </c>
      <c r="H6" s="146">
        <v>3</v>
      </c>
      <c r="I6" s="146">
        <v>5</v>
      </c>
      <c r="J6" s="146">
        <v>125</v>
      </c>
      <c r="L6" s="151" t="s">
        <v>324</v>
      </c>
      <c r="M6" s="151" t="s">
        <v>43</v>
      </c>
      <c r="N6" s="161"/>
      <c r="O6" s="161"/>
      <c r="P6" s="161"/>
      <c r="Q6" s="161"/>
      <c r="R6" s="161"/>
      <c r="S6" s="161"/>
      <c r="T6" s="161"/>
      <c r="U6" s="161" t="s">
        <v>151</v>
      </c>
      <c r="V6" s="161"/>
      <c r="W6" s="161"/>
      <c r="X6" s="161"/>
      <c r="Y6" s="161"/>
      <c r="Z6" s="161"/>
      <c r="AA6" s="161"/>
      <c r="AB6" s="161"/>
      <c r="AC6" s="161"/>
      <c r="AD6" s="161" t="s">
        <v>151</v>
      </c>
      <c r="AE6" s="161"/>
      <c r="AF6" s="161" t="s">
        <v>151</v>
      </c>
      <c r="AG6" s="161"/>
      <c r="AH6" s="161"/>
      <c r="AI6" s="161"/>
      <c r="AJ6" s="161"/>
      <c r="AK6" s="161"/>
      <c r="AL6" s="161"/>
      <c r="AM6" s="194">
        <f t="shared" si="0"/>
        <v>3</v>
      </c>
    </row>
    <row r="7" spans="1:39" x14ac:dyDescent="0.25">
      <c r="A7" s="165" t="s">
        <v>112</v>
      </c>
      <c r="B7" s="176"/>
      <c r="C7" s="257" t="s">
        <v>181</v>
      </c>
      <c r="D7" s="177" t="s">
        <v>36</v>
      </c>
      <c r="E7" s="146">
        <v>3</v>
      </c>
      <c r="F7" s="146">
        <v>0</v>
      </c>
      <c r="G7" s="146">
        <v>0</v>
      </c>
      <c r="H7" s="146">
        <v>3</v>
      </c>
      <c r="I7" s="146">
        <v>5</v>
      </c>
      <c r="J7" s="146">
        <v>125</v>
      </c>
      <c r="L7" s="151" t="s">
        <v>325</v>
      </c>
      <c r="M7" s="151" t="s">
        <v>40</v>
      </c>
      <c r="N7" s="161"/>
      <c r="O7" s="161"/>
      <c r="P7" s="161"/>
      <c r="Q7" s="161"/>
      <c r="R7" s="161"/>
      <c r="S7" s="161"/>
      <c r="T7" s="161"/>
      <c r="U7" s="161"/>
      <c r="V7" s="161"/>
      <c r="W7" s="161" t="s">
        <v>151</v>
      </c>
      <c r="X7" s="161"/>
      <c r="Y7" s="161"/>
      <c r="Z7" s="161"/>
      <c r="AA7" s="161"/>
      <c r="AB7" s="161"/>
      <c r="AC7" s="161"/>
      <c r="AD7" s="161"/>
      <c r="AE7" s="161"/>
      <c r="AF7" s="161" t="s">
        <v>151</v>
      </c>
      <c r="AG7" s="161" t="s">
        <v>151</v>
      </c>
      <c r="AH7" s="161"/>
      <c r="AI7" s="161"/>
      <c r="AJ7" s="161"/>
      <c r="AK7" s="161"/>
      <c r="AL7" s="161"/>
      <c r="AM7" s="194">
        <f t="shared" si="0"/>
        <v>3</v>
      </c>
    </row>
    <row r="8" spans="1:39" x14ac:dyDescent="0.25">
      <c r="C8" s="257" t="s">
        <v>182</v>
      </c>
      <c r="D8" s="177" t="s">
        <v>104</v>
      </c>
      <c r="E8" s="146">
        <v>1</v>
      </c>
      <c r="F8" s="146">
        <v>2</v>
      </c>
      <c r="G8" s="146">
        <v>2</v>
      </c>
      <c r="H8" s="146">
        <v>3</v>
      </c>
      <c r="I8" s="146">
        <v>5</v>
      </c>
      <c r="J8" s="146">
        <v>125</v>
      </c>
      <c r="L8" s="151" t="s">
        <v>326</v>
      </c>
      <c r="M8" s="151" t="s">
        <v>152</v>
      </c>
      <c r="N8" s="161"/>
      <c r="O8" s="161"/>
      <c r="P8" s="161"/>
      <c r="Q8" s="161"/>
      <c r="R8" s="161"/>
      <c r="S8" s="161"/>
      <c r="T8" s="161"/>
      <c r="U8" s="161"/>
      <c r="V8" s="161"/>
      <c r="W8" s="161"/>
      <c r="X8" s="161"/>
      <c r="Y8" s="161" t="s">
        <v>151</v>
      </c>
      <c r="Z8" s="161" t="s">
        <v>151</v>
      </c>
      <c r="AA8" s="161"/>
      <c r="AB8" s="161"/>
      <c r="AC8" s="161"/>
      <c r="AD8" s="161" t="s">
        <v>151</v>
      </c>
      <c r="AE8" s="161"/>
      <c r="AF8" s="161"/>
      <c r="AG8" s="161"/>
      <c r="AH8" s="161"/>
      <c r="AI8" s="161"/>
      <c r="AJ8" s="161"/>
      <c r="AK8" s="161"/>
      <c r="AL8" s="161"/>
      <c r="AM8" s="194">
        <f t="shared" si="0"/>
        <v>3</v>
      </c>
    </row>
    <row r="9" spans="1:39" x14ac:dyDescent="0.25">
      <c r="C9" s="257" t="s">
        <v>183</v>
      </c>
      <c r="D9" s="177" t="s">
        <v>121</v>
      </c>
      <c r="E9" s="146">
        <v>3</v>
      </c>
      <c r="F9" s="146">
        <v>0</v>
      </c>
      <c r="G9" s="146">
        <v>0</v>
      </c>
      <c r="H9" s="146">
        <v>3</v>
      </c>
      <c r="I9" s="146">
        <v>5</v>
      </c>
      <c r="J9" s="146">
        <v>125</v>
      </c>
      <c r="L9" s="151" t="s">
        <v>327</v>
      </c>
      <c r="M9" s="151" t="s">
        <v>153</v>
      </c>
      <c r="N9" s="161"/>
      <c r="O9" s="161"/>
      <c r="P9" s="161"/>
      <c r="Q9" s="161"/>
      <c r="R9" s="161"/>
      <c r="S9" s="161"/>
      <c r="T9" s="161"/>
      <c r="U9" s="161"/>
      <c r="V9" s="161"/>
      <c r="W9" s="161"/>
      <c r="X9" s="161"/>
      <c r="Y9" s="161" t="s">
        <v>151</v>
      </c>
      <c r="Z9" s="161"/>
      <c r="AA9" s="161" t="s">
        <v>151</v>
      </c>
      <c r="AB9" s="161"/>
      <c r="AC9" s="161"/>
      <c r="AD9" s="161" t="s">
        <v>151</v>
      </c>
      <c r="AE9" s="161"/>
      <c r="AF9" s="161"/>
      <c r="AG9" s="161"/>
      <c r="AH9" s="161"/>
      <c r="AI9" s="161"/>
      <c r="AJ9" s="161"/>
      <c r="AK9" s="161"/>
      <c r="AL9" s="161"/>
      <c r="AM9" s="194">
        <f t="shared" si="0"/>
        <v>3</v>
      </c>
    </row>
    <row r="10" spans="1:39" x14ac:dyDescent="0.25">
      <c r="D10" s="156">
        <f>COUNTA(D4:D9)</f>
        <v>6</v>
      </c>
      <c r="E10" s="193">
        <f>SUM(E4:E9)</f>
        <v>10</v>
      </c>
      <c r="F10" s="193">
        <f t="shared" ref="F10:J10" si="1">SUM(F4:F9)</f>
        <v>2</v>
      </c>
      <c r="G10" s="193">
        <f t="shared" si="1"/>
        <v>2</v>
      </c>
      <c r="H10" s="193">
        <f t="shared" si="1"/>
        <v>12</v>
      </c>
      <c r="I10" s="193">
        <f t="shared" si="1"/>
        <v>20</v>
      </c>
      <c r="J10" s="193">
        <f t="shared" si="1"/>
        <v>500</v>
      </c>
      <c r="L10" s="151" t="s">
        <v>328</v>
      </c>
      <c r="M10" s="151" t="s">
        <v>42</v>
      </c>
      <c r="N10" s="161"/>
      <c r="O10" s="161"/>
      <c r="P10" s="161"/>
      <c r="Q10" s="161"/>
      <c r="R10" s="161"/>
      <c r="S10" s="161"/>
      <c r="T10" s="161"/>
      <c r="U10" s="161"/>
      <c r="V10" s="161" t="s">
        <v>151</v>
      </c>
      <c r="W10" s="161" t="s">
        <v>151</v>
      </c>
      <c r="X10" s="161"/>
      <c r="Y10" s="161"/>
      <c r="Z10" s="161"/>
      <c r="AA10" s="161"/>
      <c r="AB10" s="161"/>
      <c r="AC10" s="161"/>
      <c r="AD10" s="161"/>
      <c r="AE10" s="161" t="s">
        <v>151</v>
      </c>
      <c r="AF10" s="161"/>
      <c r="AG10" s="161"/>
      <c r="AH10" s="161"/>
      <c r="AI10" s="161"/>
      <c r="AJ10" s="161"/>
      <c r="AK10" s="161"/>
      <c r="AL10" s="161"/>
      <c r="AM10" s="194">
        <f t="shared" si="0"/>
        <v>3</v>
      </c>
    </row>
    <row r="11" spans="1:39" x14ac:dyDescent="0.25">
      <c r="C11" s="186" t="s">
        <v>349</v>
      </c>
      <c r="D11" s="187" t="s">
        <v>105</v>
      </c>
      <c r="E11" s="188">
        <v>2</v>
      </c>
      <c r="F11" s="188">
        <v>2</v>
      </c>
      <c r="G11" s="188">
        <v>0</v>
      </c>
      <c r="H11" s="188">
        <v>3</v>
      </c>
      <c r="I11" s="188">
        <v>5</v>
      </c>
      <c r="J11" s="188">
        <v>125</v>
      </c>
      <c r="L11" s="151" t="s">
        <v>329</v>
      </c>
      <c r="M11" s="151" t="s">
        <v>49</v>
      </c>
      <c r="N11" s="161"/>
      <c r="O11" s="161"/>
      <c r="P11" s="161"/>
      <c r="Q11" s="161"/>
      <c r="R11" s="161"/>
      <c r="S11" s="161"/>
      <c r="T11" s="161"/>
      <c r="U11" s="161" t="s">
        <v>151</v>
      </c>
      <c r="V11" s="161"/>
      <c r="W11" s="161"/>
      <c r="X11" s="161"/>
      <c r="Y11" s="161"/>
      <c r="Z11" s="161"/>
      <c r="AA11" s="161"/>
      <c r="AB11" s="161"/>
      <c r="AC11" s="161"/>
      <c r="AD11" s="161" t="s">
        <v>151</v>
      </c>
      <c r="AE11" s="161" t="s">
        <v>151</v>
      </c>
      <c r="AF11" s="161"/>
      <c r="AG11" s="161"/>
      <c r="AH11" s="161"/>
      <c r="AI11" s="161"/>
      <c r="AJ11" s="161"/>
      <c r="AK11" s="161"/>
      <c r="AL11" s="161"/>
      <c r="AM11" s="194">
        <f t="shared" si="0"/>
        <v>3</v>
      </c>
    </row>
    <row r="12" spans="1:39" x14ac:dyDescent="0.25">
      <c r="C12" s="187" t="s">
        <v>350</v>
      </c>
      <c r="D12" s="187" t="s">
        <v>187</v>
      </c>
      <c r="E12" s="188">
        <v>2</v>
      </c>
      <c r="F12" s="188">
        <v>2</v>
      </c>
      <c r="G12" s="188">
        <v>0</v>
      </c>
      <c r="H12" s="188">
        <v>3</v>
      </c>
      <c r="I12" s="188">
        <v>5</v>
      </c>
      <c r="J12" s="188">
        <v>125</v>
      </c>
      <c r="L12" s="151" t="s">
        <v>330</v>
      </c>
      <c r="M12" s="151" t="s">
        <v>51</v>
      </c>
      <c r="N12" s="161"/>
      <c r="O12" s="161"/>
      <c r="P12" s="161"/>
      <c r="Q12" s="161"/>
      <c r="R12" s="161"/>
      <c r="S12" s="161"/>
      <c r="T12" s="161"/>
      <c r="U12" s="161"/>
      <c r="V12" s="161" t="s">
        <v>151</v>
      </c>
      <c r="W12" s="161" t="s">
        <v>151</v>
      </c>
      <c r="X12" s="161"/>
      <c r="Y12" s="161"/>
      <c r="Z12" s="161"/>
      <c r="AA12" s="161"/>
      <c r="AB12" s="161"/>
      <c r="AC12" s="161"/>
      <c r="AD12" s="161"/>
      <c r="AE12" s="161" t="s">
        <v>151</v>
      </c>
      <c r="AF12" s="161"/>
      <c r="AG12" s="161"/>
      <c r="AH12" s="161"/>
      <c r="AI12" s="161"/>
      <c r="AJ12" s="161"/>
      <c r="AK12" s="161"/>
      <c r="AL12" s="161"/>
      <c r="AM12" s="194">
        <f t="shared" si="0"/>
        <v>3</v>
      </c>
    </row>
    <row r="13" spans="1:39" x14ac:dyDescent="0.25">
      <c r="C13" s="187" t="s">
        <v>351</v>
      </c>
      <c r="D13" s="187" t="s">
        <v>188</v>
      </c>
      <c r="E13" s="188">
        <v>2</v>
      </c>
      <c r="F13" s="188">
        <v>2</v>
      </c>
      <c r="G13" s="188">
        <v>0</v>
      </c>
      <c r="H13" s="188">
        <v>3</v>
      </c>
      <c r="I13" s="188">
        <v>5</v>
      </c>
      <c r="J13" s="188">
        <v>125</v>
      </c>
      <c r="L13" s="151" t="s">
        <v>331</v>
      </c>
      <c r="M13" s="151" t="s">
        <v>154</v>
      </c>
      <c r="N13" s="161"/>
      <c r="O13" s="161"/>
      <c r="P13" s="161"/>
      <c r="Q13" s="161"/>
      <c r="R13" s="161"/>
      <c r="S13" s="161"/>
      <c r="T13" s="161"/>
      <c r="U13" s="161"/>
      <c r="V13" s="161" t="s">
        <v>151</v>
      </c>
      <c r="W13" s="161" t="s">
        <v>151</v>
      </c>
      <c r="X13" s="161"/>
      <c r="Y13" s="161"/>
      <c r="Z13" s="161"/>
      <c r="AA13" s="161"/>
      <c r="AB13" s="161"/>
      <c r="AC13" s="161"/>
      <c r="AD13" s="161"/>
      <c r="AE13" s="161" t="s">
        <v>151</v>
      </c>
      <c r="AF13" s="161"/>
      <c r="AG13" s="161"/>
      <c r="AH13" s="161"/>
      <c r="AI13" s="161"/>
      <c r="AJ13" s="161"/>
      <c r="AK13" s="161"/>
      <c r="AL13" s="161"/>
      <c r="AM13" s="194">
        <f t="shared" si="0"/>
        <v>3</v>
      </c>
    </row>
    <row r="14" spans="1:39" x14ac:dyDescent="0.25">
      <c r="C14" s="187" t="s">
        <v>355</v>
      </c>
      <c r="D14" s="187" t="s">
        <v>189</v>
      </c>
      <c r="E14" s="188">
        <v>2</v>
      </c>
      <c r="F14" s="188">
        <v>2</v>
      </c>
      <c r="G14" s="188">
        <v>0</v>
      </c>
      <c r="H14" s="188">
        <v>3</v>
      </c>
      <c r="I14" s="188">
        <v>5</v>
      </c>
      <c r="J14" s="188">
        <v>125</v>
      </c>
      <c r="L14" s="151" t="s">
        <v>332</v>
      </c>
      <c r="M14" s="151" t="s">
        <v>155</v>
      </c>
      <c r="N14" s="161"/>
      <c r="O14" s="161"/>
      <c r="P14" s="161"/>
      <c r="Q14" s="161"/>
      <c r="R14" s="161"/>
      <c r="S14" s="161"/>
      <c r="T14" s="161"/>
      <c r="U14" s="161" t="s">
        <v>151</v>
      </c>
      <c r="V14" s="161"/>
      <c r="W14" s="161"/>
      <c r="X14" s="161"/>
      <c r="Y14" s="161"/>
      <c r="Z14" s="161"/>
      <c r="AA14" s="161"/>
      <c r="AB14" s="161"/>
      <c r="AC14" s="161"/>
      <c r="AD14" s="161" t="s">
        <v>151</v>
      </c>
      <c r="AE14" s="161"/>
      <c r="AF14" s="161" t="s">
        <v>151</v>
      </c>
      <c r="AG14" s="161"/>
      <c r="AH14" s="161"/>
      <c r="AI14" s="161"/>
      <c r="AJ14" s="161"/>
      <c r="AK14" s="161"/>
      <c r="AL14" s="161"/>
      <c r="AM14" s="194">
        <f t="shared" si="0"/>
        <v>3</v>
      </c>
    </row>
    <row r="15" spans="1:39" x14ac:dyDescent="0.25">
      <c r="C15" s="187" t="s">
        <v>358</v>
      </c>
      <c r="D15" s="187" t="s">
        <v>31</v>
      </c>
      <c r="E15" s="188">
        <v>2</v>
      </c>
      <c r="F15" s="188">
        <v>0</v>
      </c>
      <c r="G15" s="188">
        <v>2</v>
      </c>
      <c r="H15" s="188">
        <v>3</v>
      </c>
      <c r="I15" s="188">
        <v>5</v>
      </c>
      <c r="J15" s="188">
        <v>125</v>
      </c>
      <c r="L15" s="151" t="s">
        <v>333</v>
      </c>
      <c r="M15" s="151" t="s">
        <v>156</v>
      </c>
      <c r="N15" s="161"/>
      <c r="O15" s="161"/>
      <c r="P15" s="161"/>
      <c r="Q15" s="161"/>
      <c r="R15" s="161"/>
      <c r="S15" s="161"/>
      <c r="T15" s="161"/>
      <c r="U15" s="161"/>
      <c r="V15" s="161" t="s">
        <v>151</v>
      </c>
      <c r="W15" s="161"/>
      <c r="X15" s="161"/>
      <c r="Y15" s="161"/>
      <c r="Z15" s="161"/>
      <c r="AA15" s="161"/>
      <c r="AB15" s="161"/>
      <c r="AC15" s="161"/>
      <c r="AD15" s="161" t="s">
        <v>151</v>
      </c>
      <c r="AE15" s="161"/>
      <c r="AF15" s="161" t="s">
        <v>151</v>
      </c>
      <c r="AG15" s="161"/>
      <c r="AH15" s="161"/>
      <c r="AI15" s="161"/>
      <c r="AJ15" s="161"/>
      <c r="AK15" s="161"/>
      <c r="AL15" s="161"/>
      <c r="AM15" s="194">
        <f t="shared" si="0"/>
        <v>3</v>
      </c>
    </row>
    <row r="16" spans="1:39" x14ac:dyDescent="0.25">
      <c r="C16" s="187" t="s">
        <v>190</v>
      </c>
      <c r="D16" s="187" t="s">
        <v>29</v>
      </c>
      <c r="E16" s="188">
        <v>2</v>
      </c>
      <c r="F16" s="188">
        <v>2</v>
      </c>
      <c r="G16" s="188">
        <v>1</v>
      </c>
      <c r="H16" s="188">
        <v>3</v>
      </c>
      <c r="I16" s="188">
        <v>5</v>
      </c>
      <c r="J16" s="188">
        <v>125</v>
      </c>
      <c r="L16" s="151" t="s">
        <v>334</v>
      </c>
      <c r="M16" s="151" t="s">
        <v>53</v>
      </c>
      <c r="N16" s="161"/>
      <c r="O16" s="161"/>
      <c r="P16" s="161"/>
      <c r="Q16" s="161"/>
      <c r="R16" s="161"/>
      <c r="S16" s="161"/>
      <c r="T16" s="161" t="s">
        <v>151</v>
      </c>
      <c r="U16" s="161"/>
      <c r="V16" s="161"/>
      <c r="W16" s="161"/>
      <c r="X16" s="161"/>
      <c r="Y16" s="161"/>
      <c r="Z16" s="161"/>
      <c r="AA16" s="161"/>
      <c r="AB16" s="161"/>
      <c r="AC16" s="161"/>
      <c r="AD16" s="161" t="s">
        <v>151</v>
      </c>
      <c r="AE16" s="161" t="s">
        <v>151</v>
      </c>
      <c r="AF16" s="161"/>
      <c r="AG16" s="161"/>
      <c r="AH16" s="161"/>
      <c r="AI16" s="161"/>
      <c r="AJ16" s="161"/>
      <c r="AK16" s="161"/>
      <c r="AL16" s="161"/>
      <c r="AM16" s="194">
        <f t="shared" si="0"/>
        <v>3</v>
      </c>
    </row>
    <row r="17" spans="3:39" x14ac:dyDescent="0.25">
      <c r="C17" s="187" t="s">
        <v>184</v>
      </c>
      <c r="D17" s="187" t="s">
        <v>185</v>
      </c>
      <c r="E17" s="188">
        <v>2</v>
      </c>
      <c r="F17" s="188">
        <v>0</v>
      </c>
      <c r="G17" s="188">
        <v>2</v>
      </c>
      <c r="H17" s="188">
        <v>3</v>
      </c>
      <c r="I17" s="188">
        <v>5</v>
      </c>
      <c r="J17" s="188">
        <v>125</v>
      </c>
      <c r="L17" s="151" t="s">
        <v>335</v>
      </c>
      <c r="M17" s="151" t="s">
        <v>157</v>
      </c>
      <c r="N17" s="161"/>
      <c r="O17" s="161"/>
      <c r="P17" s="161"/>
      <c r="Q17" s="161"/>
      <c r="R17" s="161"/>
      <c r="S17" s="161"/>
      <c r="T17" s="161"/>
      <c r="U17" s="161"/>
      <c r="V17" s="161"/>
      <c r="W17" s="161"/>
      <c r="X17" s="161"/>
      <c r="Y17" s="161" t="s">
        <v>151</v>
      </c>
      <c r="Z17" s="161" t="s">
        <v>151</v>
      </c>
      <c r="AA17" s="161"/>
      <c r="AB17" s="161"/>
      <c r="AC17" s="161"/>
      <c r="AD17" s="161"/>
      <c r="AE17" s="161"/>
      <c r="AF17" s="161" t="s">
        <v>151</v>
      </c>
      <c r="AG17" s="161"/>
      <c r="AH17" s="161"/>
      <c r="AI17" s="161"/>
      <c r="AJ17" s="161"/>
      <c r="AK17" s="161"/>
      <c r="AL17" s="161"/>
      <c r="AM17" s="194">
        <f t="shared" si="0"/>
        <v>3</v>
      </c>
    </row>
    <row r="18" spans="3:39" x14ac:dyDescent="0.25">
      <c r="C18" s="187" t="s">
        <v>273</v>
      </c>
      <c r="D18" s="187" t="s">
        <v>97</v>
      </c>
      <c r="E18" s="188">
        <v>2</v>
      </c>
      <c r="F18" s="188">
        <v>2</v>
      </c>
      <c r="G18" s="188">
        <v>0</v>
      </c>
      <c r="H18" s="188">
        <v>3</v>
      </c>
      <c r="I18" s="188">
        <v>5</v>
      </c>
      <c r="J18" s="188">
        <v>125</v>
      </c>
      <c r="L18" s="151" t="s">
        <v>336</v>
      </c>
      <c r="M18" s="151" t="s">
        <v>158</v>
      </c>
      <c r="N18" s="161"/>
      <c r="O18" s="161"/>
      <c r="P18" s="161"/>
      <c r="Q18" s="161"/>
      <c r="R18" s="161"/>
      <c r="S18" s="161"/>
      <c r="T18" s="161"/>
      <c r="U18" s="161"/>
      <c r="V18" s="161"/>
      <c r="W18" s="161"/>
      <c r="X18" s="161"/>
      <c r="Y18" s="161" t="s">
        <v>151</v>
      </c>
      <c r="Z18" s="161" t="s">
        <v>151</v>
      </c>
      <c r="AA18" s="161"/>
      <c r="AB18" s="161"/>
      <c r="AC18" s="161"/>
      <c r="AD18" s="161"/>
      <c r="AE18" s="161"/>
      <c r="AF18" s="161" t="s">
        <v>151</v>
      </c>
      <c r="AG18" s="161"/>
      <c r="AH18" s="161"/>
      <c r="AI18" s="161"/>
      <c r="AJ18" s="161"/>
      <c r="AK18" s="161"/>
      <c r="AL18" s="161"/>
      <c r="AM18" s="194">
        <f t="shared" si="0"/>
        <v>3</v>
      </c>
    </row>
    <row r="19" spans="3:39" x14ac:dyDescent="0.25">
      <c r="C19" s="187" t="s">
        <v>274</v>
      </c>
      <c r="D19" s="187" t="s">
        <v>120</v>
      </c>
      <c r="E19" s="188">
        <v>2</v>
      </c>
      <c r="F19" s="188">
        <v>2</v>
      </c>
      <c r="G19" s="188">
        <v>0</v>
      </c>
      <c r="H19" s="188">
        <v>3</v>
      </c>
      <c r="I19" s="188">
        <v>5</v>
      </c>
      <c r="J19" s="188">
        <v>125</v>
      </c>
      <c r="L19" s="151" t="s">
        <v>337</v>
      </c>
      <c r="M19" s="151" t="s">
        <v>159</v>
      </c>
      <c r="N19" s="161"/>
      <c r="O19" s="161"/>
      <c r="P19" s="161"/>
      <c r="Q19" s="161"/>
      <c r="R19" s="161"/>
      <c r="S19" s="161"/>
      <c r="T19" s="161"/>
      <c r="U19" s="161"/>
      <c r="V19" s="161" t="s">
        <v>151</v>
      </c>
      <c r="W19" s="161" t="s">
        <v>151</v>
      </c>
      <c r="X19" s="161"/>
      <c r="Y19" s="161"/>
      <c r="Z19" s="161"/>
      <c r="AA19" s="161"/>
      <c r="AB19" s="161"/>
      <c r="AC19" s="161"/>
      <c r="AD19" s="161"/>
      <c r="AE19" s="161" t="s">
        <v>151</v>
      </c>
      <c r="AF19" s="161"/>
      <c r="AG19" s="161"/>
      <c r="AH19" s="161"/>
      <c r="AI19" s="161"/>
      <c r="AJ19" s="161"/>
      <c r="AK19" s="161"/>
      <c r="AL19" s="161"/>
      <c r="AM19" s="194">
        <f t="shared" si="0"/>
        <v>3</v>
      </c>
    </row>
    <row r="20" spans="3:39" x14ac:dyDescent="0.25">
      <c r="C20" s="187" t="s">
        <v>357</v>
      </c>
      <c r="D20" s="187" t="s">
        <v>186</v>
      </c>
      <c r="E20" s="188">
        <v>2</v>
      </c>
      <c r="F20" s="188">
        <v>2</v>
      </c>
      <c r="G20" s="188">
        <v>0</v>
      </c>
      <c r="H20" s="188">
        <v>3</v>
      </c>
      <c r="I20" s="188">
        <v>5</v>
      </c>
      <c r="J20" s="188">
        <v>125</v>
      </c>
      <c r="L20" s="151" t="s">
        <v>338</v>
      </c>
      <c r="M20" s="151" t="s">
        <v>50</v>
      </c>
      <c r="N20" s="161"/>
      <c r="O20" s="161"/>
      <c r="P20" s="161"/>
      <c r="Q20" s="161"/>
      <c r="R20" s="161"/>
      <c r="S20" s="161"/>
      <c r="T20" s="161"/>
      <c r="U20" s="161" t="s">
        <v>151</v>
      </c>
      <c r="V20" s="161"/>
      <c r="W20" s="161"/>
      <c r="X20" s="161"/>
      <c r="Y20" s="161"/>
      <c r="Z20" s="161"/>
      <c r="AA20" s="161"/>
      <c r="AB20" s="161"/>
      <c r="AC20" s="161"/>
      <c r="AD20" s="161" t="s">
        <v>151</v>
      </c>
      <c r="AE20" s="161" t="s">
        <v>151</v>
      </c>
      <c r="AF20" s="161"/>
      <c r="AG20" s="161"/>
      <c r="AH20" s="161"/>
      <c r="AI20" s="161"/>
      <c r="AJ20" s="161"/>
      <c r="AK20" s="161"/>
      <c r="AL20" s="161"/>
      <c r="AM20" s="194">
        <f t="shared" si="0"/>
        <v>3</v>
      </c>
    </row>
    <row r="21" spans="3:39" x14ac:dyDescent="0.25">
      <c r="D21" s="156">
        <f>COUNTA(D11:D20)</f>
        <v>10</v>
      </c>
      <c r="E21" s="193">
        <f>SUM(E11:E20)</f>
        <v>20</v>
      </c>
      <c r="F21" s="193">
        <f t="shared" ref="F21:J21" si="2">SUM(F11:F20)</f>
        <v>16</v>
      </c>
      <c r="G21" s="193">
        <f t="shared" si="2"/>
        <v>5</v>
      </c>
      <c r="H21" s="193">
        <f t="shared" si="2"/>
        <v>30</v>
      </c>
      <c r="I21" s="193">
        <f t="shared" si="2"/>
        <v>50</v>
      </c>
      <c r="J21" s="193">
        <f t="shared" si="2"/>
        <v>1250</v>
      </c>
      <c r="L21" s="151" t="s">
        <v>339</v>
      </c>
      <c r="M21" s="151" t="s">
        <v>160</v>
      </c>
      <c r="N21" s="161"/>
      <c r="O21" s="161"/>
      <c r="P21" s="161"/>
      <c r="Q21" s="161"/>
      <c r="R21" s="161"/>
      <c r="S21" s="161"/>
      <c r="T21" s="161"/>
      <c r="U21" s="161"/>
      <c r="V21" s="161" t="s">
        <v>151</v>
      </c>
      <c r="W21" s="161"/>
      <c r="X21" s="161"/>
      <c r="Y21" s="161"/>
      <c r="Z21" s="161"/>
      <c r="AA21" s="161"/>
      <c r="AB21" s="161"/>
      <c r="AC21" s="161"/>
      <c r="AD21" s="161"/>
      <c r="AE21" s="161" t="s">
        <v>151</v>
      </c>
      <c r="AF21" s="161" t="s">
        <v>151</v>
      </c>
      <c r="AG21" s="161"/>
      <c r="AH21" s="161"/>
      <c r="AI21" s="161"/>
      <c r="AJ21" s="161"/>
      <c r="AK21" s="161"/>
      <c r="AL21" s="161"/>
      <c r="AM21" s="194">
        <f t="shared" si="0"/>
        <v>3</v>
      </c>
    </row>
    <row r="22" spans="3:39" x14ac:dyDescent="0.25">
      <c r="C22" s="189" t="s">
        <v>322</v>
      </c>
      <c r="D22" s="189" t="s">
        <v>32</v>
      </c>
      <c r="E22" s="190">
        <v>2</v>
      </c>
      <c r="F22" s="190">
        <v>2</v>
      </c>
      <c r="G22" s="190">
        <v>0</v>
      </c>
      <c r="H22" s="190">
        <v>3</v>
      </c>
      <c r="I22" s="190">
        <v>5</v>
      </c>
      <c r="J22" s="190">
        <v>125</v>
      </c>
      <c r="L22" s="151" t="s">
        <v>340</v>
      </c>
      <c r="M22" s="151" t="s">
        <v>71</v>
      </c>
      <c r="N22" s="161"/>
      <c r="O22" s="161"/>
      <c r="P22" s="161"/>
      <c r="Q22" s="161"/>
      <c r="R22" s="161"/>
      <c r="S22" s="161"/>
      <c r="T22" s="161"/>
      <c r="U22" s="161"/>
      <c r="V22" s="161"/>
      <c r="W22" s="161"/>
      <c r="X22" s="161" t="s">
        <v>151</v>
      </c>
      <c r="Y22" s="161"/>
      <c r="Z22" s="161"/>
      <c r="AA22" s="161" t="s">
        <v>151</v>
      </c>
      <c r="AB22" s="161"/>
      <c r="AC22" s="161" t="s">
        <v>151</v>
      </c>
      <c r="AD22" s="161"/>
      <c r="AE22" s="161" t="s">
        <v>151</v>
      </c>
      <c r="AF22" s="161"/>
      <c r="AG22" s="161"/>
      <c r="AH22" s="161"/>
      <c r="AI22" s="161"/>
      <c r="AJ22" s="161"/>
      <c r="AK22" s="161"/>
      <c r="AL22" s="161"/>
      <c r="AM22" s="194">
        <f t="shared" si="0"/>
        <v>4</v>
      </c>
    </row>
    <row r="23" spans="3:39" x14ac:dyDescent="0.25">
      <c r="C23" s="189" t="s">
        <v>323</v>
      </c>
      <c r="D23" s="189" t="s">
        <v>45</v>
      </c>
      <c r="E23" s="190">
        <v>2</v>
      </c>
      <c r="F23" s="190">
        <v>2</v>
      </c>
      <c r="G23" s="190">
        <v>0</v>
      </c>
      <c r="H23" s="190">
        <v>3</v>
      </c>
      <c r="I23" s="190">
        <v>5</v>
      </c>
      <c r="J23" s="190">
        <v>125</v>
      </c>
      <c r="L23" s="151" t="s">
        <v>341</v>
      </c>
      <c r="M23" s="151" t="s">
        <v>161</v>
      </c>
      <c r="N23" s="161"/>
      <c r="O23" s="161"/>
      <c r="P23" s="161"/>
      <c r="Q23" s="161"/>
      <c r="R23" s="161"/>
      <c r="S23" s="161"/>
      <c r="T23" s="161"/>
      <c r="U23" s="161"/>
      <c r="V23" s="161"/>
      <c r="W23" s="161"/>
      <c r="X23" s="161"/>
      <c r="Y23" s="161"/>
      <c r="Z23" s="161"/>
      <c r="AA23" s="161" t="s">
        <v>151</v>
      </c>
      <c r="AB23" s="161" t="s">
        <v>151</v>
      </c>
      <c r="AC23" s="161" t="s">
        <v>151</v>
      </c>
      <c r="AD23" s="161"/>
      <c r="AE23" s="161" t="s">
        <v>151</v>
      </c>
      <c r="AF23" s="161"/>
      <c r="AG23" s="161"/>
      <c r="AH23" s="161"/>
      <c r="AI23" s="161"/>
      <c r="AJ23" s="161"/>
      <c r="AK23" s="161"/>
      <c r="AL23" s="161"/>
      <c r="AM23" s="194">
        <f t="shared" si="0"/>
        <v>4</v>
      </c>
    </row>
    <row r="24" spans="3:39" x14ac:dyDescent="0.25">
      <c r="C24" s="189" t="s">
        <v>324</v>
      </c>
      <c r="D24" s="189" t="s">
        <v>43</v>
      </c>
      <c r="E24" s="190">
        <v>2</v>
      </c>
      <c r="F24" s="190">
        <v>1</v>
      </c>
      <c r="G24" s="190">
        <v>1</v>
      </c>
      <c r="H24" s="190">
        <v>3</v>
      </c>
      <c r="I24" s="190">
        <v>5</v>
      </c>
      <c r="J24" s="190">
        <v>125</v>
      </c>
      <c r="L24" s="151" t="s">
        <v>162</v>
      </c>
      <c r="M24" s="151" t="s">
        <v>163</v>
      </c>
      <c r="N24" s="161"/>
      <c r="O24" s="161"/>
      <c r="P24" s="161"/>
      <c r="Q24" s="161"/>
      <c r="R24" s="161"/>
      <c r="S24" s="161"/>
      <c r="T24" s="161" t="s">
        <v>151</v>
      </c>
      <c r="U24" s="161" t="s">
        <v>151</v>
      </c>
      <c r="V24" s="161"/>
      <c r="W24" s="161" t="s">
        <v>151</v>
      </c>
      <c r="X24" s="161"/>
      <c r="Y24" s="161"/>
      <c r="Z24" s="161"/>
      <c r="AA24" s="161"/>
      <c r="AB24" s="161"/>
      <c r="AC24" s="161"/>
      <c r="AD24" s="161"/>
      <c r="AE24" s="161"/>
      <c r="AF24" s="161"/>
      <c r="AG24" s="161"/>
      <c r="AH24" s="161"/>
      <c r="AI24" s="161"/>
      <c r="AJ24" s="161"/>
      <c r="AK24" s="161"/>
      <c r="AL24" s="161"/>
      <c r="AM24" s="194">
        <f t="shared" si="0"/>
        <v>3</v>
      </c>
    </row>
    <row r="25" spans="3:39" x14ac:dyDescent="0.25">
      <c r="C25" s="189" t="s">
        <v>325</v>
      </c>
      <c r="D25" s="189" t="s">
        <v>40</v>
      </c>
      <c r="E25" s="190">
        <v>2</v>
      </c>
      <c r="F25" s="190">
        <v>2</v>
      </c>
      <c r="G25" s="190">
        <v>0</v>
      </c>
      <c r="H25" s="190">
        <v>3</v>
      </c>
      <c r="I25" s="190">
        <v>5</v>
      </c>
      <c r="J25" s="190">
        <v>125</v>
      </c>
      <c r="L25" s="151" t="s">
        <v>352</v>
      </c>
      <c r="M25" s="151" t="s">
        <v>26</v>
      </c>
      <c r="N25" s="161"/>
      <c r="O25" s="161"/>
      <c r="P25" s="161"/>
      <c r="Q25" s="161"/>
      <c r="R25" s="161"/>
      <c r="S25" s="161"/>
      <c r="T25" s="161" t="s">
        <v>151</v>
      </c>
      <c r="U25" s="161" t="s">
        <v>151</v>
      </c>
      <c r="V25" s="161"/>
      <c r="W25" s="161"/>
      <c r="X25" s="161" t="s">
        <v>151</v>
      </c>
      <c r="Y25" s="161"/>
      <c r="Z25" s="161"/>
      <c r="AA25" s="161"/>
      <c r="AB25" s="161"/>
      <c r="AC25" s="161"/>
      <c r="AD25" s="161"/>
      <c r="AE25" s="161"/>
      <c r="AF25" s="161"/>
      <c r="AG25" s="161"/>
      <c r="AH25" s="161"/>
      <c r="AI25" s="161"/>
      <c r="AJ25" s="161"/>
      <c r="AK25" s="161"/>
      <c r="AL25" s="161"/>
      <c r="AM25" s="194">
        <f t="shared" si="0"/>
        <v>3</v>
      </c>
    </row>
    <row r="26" spans="3:39" x14ac:dyDescent="0.25">
      <c r="C26" s="189" t="s">
        <v>326</v>
      </c>
      <c r="D26" s="189" t="s">
        <v>152</v>
      </c>
      <c r="E26" s="190">
        <v>1</v>
      </c>
      <c r="F26" s="190">
        <v>2</v>
      </c>
      <c r="G26" s="190">
        <v>2</v>
      </c>
      <c r="H26" s="190">
        <v>3</v>
      </c>
      <c r="I26" s="190">
        <v>5</v>
      </c>
      <c r="J26" s="190">
        <v>125</v>
      </c>
      <c r="L26" s="151" t="s">
        <v>353</v>
      </c>
      <c r="M26" s="151" t="s">
        <v>38</v>
      </c>
      <c r="N26" s="161"/>
      <c r="O26" s="161"/>
      <c r="P26" s="161"/>
      <c r="Q26" s="161"/>
      <c r="R26" s="161"/>
      <c r="S26" s="161"/>
      <c r="T26" s="161" t="s">
        <v>151</v>
      </c>
      <c r="U26" s="161" t="s">
        <v>151</v>
      </c>
      <c r="V26" s="161"/>
      <c r="W26" s="161"/>
      <c r="X26" s="161" t="s">
        <v>151</v>
      </c>
      <c r="Y26" s="161"/>
      <c r="Z26" s="161"/>
      <c r="AA26" s="161"/>
      <c r="AB26" s="161"/>
      <c r="AC26" s="161"/>
      <c r="AD26" s="161"/>
      <c r="AE26" s="161"/>
      <c r="AF26" s="161"/>
      <c r="AG26" s="161"/>
      <c r="AH26" s="161"/>
      <c r="AI26" s="161"/>
      <c r="AJ26" s="161"/>
      <c r="AK26" s="161"/>
      <c r="AL26" s="161"/>
      <c r="AM26" s="194">
        <f t="shared" si="0"/>
        <v>3</v>
      </c>
    </row>
    <row r="27" spans="3:39" x14ac:dyDescent="0.25">
      <c r="C27" s="189" t="s">
        <v>327</v>
      </c>
      <c r="D27" s="189" t="s">
        <v>153</v>
      </c>
      <c r="E27" s="190">
        <v>1</v>
      </c>
      <c r="F27" s="190">
        <v>2</v>
      </c>
      <c r="G27" s="190">
        <v>2</v>
      </c>
      <c r="H27" s="190">
        <v>3</v>
      </c>
      <c r="I27" s="190">
        <v>5</v>
      </c>
      <c r="J27" s="190">
        <v>125</v>
      </c>
      <c r="L27" s="151" t="s">
        <v>354</v>
      </c>
      <c r="M27" s="151" t="s">
        <v>65</v>
      </c>
      <c r="N27" s="161"/>
      <c r="O27" s="161"/>
      <c r="P27" s="161"/>
      <c r="Q27" s="161"/>
      <c r="R27" s="161"/>
      <c r="S27" s="161"/>
      <c r="T27" s="161"/>
      <c r="U27" s="161" t="s">
        <v>151</v>
      </c>
      <c r="V27" s="161" t="s">
        <v>151</v>
      </c>
      <c r="W27" s="161"/>
      <c r="X27" s="161"/>
      <c r="Y27" s="161"/>
      <c r="Z27" s="161"/>
      <c r="AA27" s="161"/>
      <c r="AB27" s="161"/>
      <c r="AC27" s="161"/>
      <c r="AD27" s="161"/>
      <c r="AE27" s="161"/>
      <c r="AF27" s="161"/>
      <c r="AG27" s="161"/>
      <c r="AH27" s="161"/>
      <c r="AI27" s="161"/>
      <c r="AJ27" s="161"/>
      <c r="AK27" s="161"/>
      <c r="AL27" s="161"/>
      <c r="AM27" s="194">
        <f t="shared" si="0"/>
        <v>2</v>
      </c>
    </row>
    <row r="28" spans="3:39" x14ac:dyDescent="0.25">
      <c r="C28" s="189" t="s">
        <v>328</v>
      </c>
      <c r="D28" s="189" t="s">
        <v>42</v>
      </c>
      <c r="E28" s="190">
        <v>2</v>
      </c>
      <c r="F28" s="190">
        <v>2</v>
      </c>
      <c r="G28" s="190">
        <v>0</v>
      </c>
      <c r="H28" s="190">
        <v>3</v>
      </c>
      <c r="I28" s="190">
        <v>5</v>
      </c>
      <c r="J28" s="190">
        <v>125</v>
      </c>
      <c r="L28" s="152" t="s">
        <v>342</v>
      </c>
      <c r="M28" s="152" t="s">
        <v>55</v>
      </c>
      <c r="N28" s="167"/>
      <c r="O28" s="167"/>
      <c r="P28" s="167"/>
      <c r="Q28" s="167"/>
      <c r="R28" s="167"/>
      <c r="S28" s="167"/>
      <c r="T28" s="167"/>
      <c r="U28" s="167"/>
      <c r="V28" s="167"/>
      <c r="W28" s="167"/>
      <c r="X28" s="167"/>
      <c r="Y28" s="167"/>
      <c r="Z28" s="167"/>
      <c r="AA28" s="167"/>
      <c r="AB28" s="167"/>
      <c r="AC28" s="167"/>
      <c r="AD28" s="167"/>
      <c r="AE28" s="167"/>
      <c r="AF28" s="154" t="s">
        <v>151</v>
      </c>
      <c r="AG28" s="154" t="s">
        <v>151</v>
      </c>
      <c r="AH28" s="167"/>
      <c r="AI28" s="167"/>
      <c r="AJ28" s="154" t="s">
        <v>151</v>
      </c>
      <c r="AK28" s="167"/>
      <c r="AL28" s="167"/>
      <c r="AM28" s="194">
        <f t="shared" si="0"/>
        <v>3</v>
      </c>
    </row>
    <row r="29" spans="3:39" x14ac:dyDescent="0.25">
      <c r="C29" s="189" t="s">
        <v>329</v>
      </c>
      <c r="D29" s="189" t="s">
        <v>49</v>
      </c>
      <c r="E29" s="190">
        <v>2</v>
      </c>
      <c r="F29" s="190">
        <v>1</v>
      </c>
      <c r="G29" s="190">
        <v>1</v>
      </c>
      <c r="H29" s="190">
        <v>3</v>
      </c>
      <c r="I29" s="190">
        <v>5</v>
      </c>
      <c r="J29" s="190">
        <v>125</v>
      </c>
      <c r="L29" s="152" t="s">
        <v>343</v>
      </c>
      <c r="M29" s="152" t="s">
        <v>57</v>
      </c>
      <c r="N29" s="167"/>
      <c r="O29" s="167"/>
      <c r="P29" s="167"/>
      <c r="Q29" s="167"/>
      <c r="R29" s="167"/>
      <c r="S29" s="167"/>
      <c r="T29" s="167"/>
      <c r="U29" s="167"/>
      <c r="V29" s="167"/>
      <c r="W29" s="167"/>
      <c r="X29" s="167"/>
      <c r="Y29" s="167"/>
      <c r="Z29" s="167"/>
      <c r="AA29" s="167"/>
      <c r="AB29" s="167"/>
      <c r="AC29" s="167"/>
      <c r="AD29" s="167"/>
      <c r="AE29" s="167"/>
      <c r="AF29" s="167"/>
      <c r="AG29" s="154" t="s">
        <v>151</v>
      </c>
      <c r="AH29" s="167"/>
      <c r="AI29" s="167"/>
      <c r="AJ29" s="154" t="s">
        <v>151</v>
      </c>
      <c r="AK29" s="167"/>
      <c r="AL29" s="167"/>
      <c r="AM29" s="194">
        <f t="shared" si="0"/>
        <v>2</v>
      </c>
    </row>
    <row r="30" spans="3:39" x14ac:dyDescent="0.25">
      <c r="C30" s="189" t="s">
        <v>330</v>
      </c>
      <c r="D30" s="189" t="s">
        <v>51</v>
      </c>
      <c r="E30" s="190">
        <v>2</v>
      </c>
      <c r="F30" s="190">
        <v>2</v>
      </c>
      <c r="G30" s="190">
        <v>0</v>
      </c>
      <c r="H30" s="190">
        <v>3</v>
      </c>
      <c r="I30" s="190">
        <v>5</v>
      </c>
      <c r="J30" s="190">
        <v>125</v>
      </c>
      <c r="L30" s="152" t="s">
        <v>344</v>
      </c>
      <c r="M30" s="152" t="s">
        <v>164</v>
      </c>
      <c r="N30" s="167"/>
      <c r="O30" s="167"/>
      <c r="P30" s="167"/>
      <c r="Q30" s="167"/>
      <c r="R30" s="167"/>
      <c r="S30" s="167"/>
      <c r="T30" s="167"/>
      <c r="U30" s="167"/>
      <c r="V30" s="167"/>
      <c r="W30" s="167"/>
      <c r="X30" s="167"/>
      <c r="Y30" s="167"/>
      <c r="Z30" s="167"/>
      <c r="AA30" s="167"/>
      <c r="AB30" s="167"/>
      <c r="AC30" s="167"/>
      <c r="AD30" s="167"/>
      <c r="AE30" s="167"/>
      <c r="AF30" s="154" t="s">
        <v>151</v>
      </c>
      <c r="AG30" s="167"/>
      <c r="AH30" s="167"/>
      <c r="AI30" s="167"/>
      <c r="AJ30" s="154" t="s">
        <v>151</v>
      </c>
      <c r="AK30" s="167" t="s">
        <v>151</v>
      </c>
      <c r="AL30" s="167"/>
      <c r="AM30" s="194">
        <f t="shared" si="0"/>
        <v>3</v>
      </c>
    </row>
    <row r="31" spans="3:39" x14ac:dyDescent="0.25">
      <c r="C31" s="189" t="s">
        <v>331</v>
      </c>
      <c r="D31" s="189" t="s">
        <v>154</v>
      </c>
      <c r="E31" s="190">
        <v>2</v>
      </c>
      <c r="F31" s="190">
        <v>2</v>
      </c>
      <c r="G31" s="190">
        <v>0</v>
      </c>
      <c r="H31" s="190">
        <v>3</v>
      </c>
      <c r="I31" s="190">
        <v>5</v>
      </c>
      <c r="J31" s="190">
        <v>125</v>
      </c>
      <c r="L31" s="152" t="s">
        <v>345</v>
      </c>
      <c r="M31" s="152" t="s">
        <v>165</v>
      </c>
      <c r="N31" s="167"/>
      <c r="O31" s="167"/>
      <c r="P31" s="167"/>
      <c r="Q31" s="167"/>
      <c r="R31" s="167"/>
      <c r="S31" s="167"/>
      <c r="T31" s="167"/>
      <c r="U31" s="167"/>
      <c r="V31" s="167"/>
      <c r="W31" s="167"/>
      <c r="X31" s="167"/>
      <c r="Y31" s="167"/>
      <c r="Z31" s="167"/>
      <c r="AA31" s="167"/>
      <c r="AB31" s="167"/>
      <c r="AC31" s="167"/>
      <c r="AD31" s="167"/>
      <c r="AE31" s="167"/>
      <c r="AF31" s="154"/>
      <c r="AG31" s="154" t="s">
        <v>151</v>
      </c>
      <c r="AH31" s="154" t="s">
        <v>151</v>
      </c>
      <c r="AI31" s="154"/>
      <c r="AJ31" s="154" t="s">
        <v>151</v>
      </c>
      <c r="AK31" s="167"/>
      <c r="AL31" s="154" t="s">
        <v>151</v>
      </c>
      <c r="AM31" s="194">
        <f t="shared" si="0"/>
        <v>4</v>
      </c>
    </row>
    <row r="32" spans="3:39" x14ac:dyDescent="0.25">
      <c r="C32" s="189" t="s">
        <v>332</v>
      </c>
      <c r="D32" s="189" t="s">
        <v>155</v>
      </c>
      <c r="E32" s="190">
        <v>2</v>
      </c>
      <c r="F32" s="190">
        <v>1</v>
      </c>
      <c r="G32" s="190">
        <v>1</v>
      </c>
      <c r="H32" s="190">
        <v>3</v>
      </c>
      <c r="I32" s="190">
        <v>5</v>
      </c>
      <c r="J32" s="190">
        <v>125</v>
      </c>
      <c r="L32" s="152" t="s">
        <v>346</v>
      </c>
      <c r="M32" s="152" t="s">
        <v>166</v>
      </c>
      <c r="N32" s="167"/>
      <c r="O32" s="167"/>
      <c r="P32" s="167"/>
      <c r="Q32" s="167"/>
      <c r="R32" s="167"/>
      <c r="S32" s="167"/>
      <c r="T32" s="167"/>
      <c r="U32" s="167"/>
      <c r="V32" s="167"/>
      <c r="W32" s="154"/>
      <c r="X32" s="167"/>
      <c r="Y32" s="154" t="s">
        <v>151</v>
      </c>
      <c r="Z32" s="167"/>
      <c r="AA32" s="167"/>
      <c r="AB32" s="167"/>
      <c r="AC32" s="167"/>
      <c r="AD32" s="167"/>
      <c r="AE32" s="167"/>
      <c r="AF32" s="154"/>
      <c r="AG32" s="154" t="s">
        <v>151</v>
      </c>
      <c r="AH32" s="167"/>
      <c r="AI32" s="154" t="s">
        <v>151</v>
      </c>
      <c r="AJ32" s="167"/>
      <c r="AK32" s="167"/>
      <c r="AL32" s="154"/>
      <c r="AM32" s="194">
        <f t="shared" si="0"/>
        <v>3</v>
      </c>
    </row>
    <row r="33" spans="3:39" x14ac:dyDescent="0.25">
      <c r="C33" s="189" t="s">
        <v>333</v>
      </c>
      <c r="D33" s="189" t="s">
        <v>156</v>
      </c>
      <c r="E33" s="190">
        <v>2</v>
      </c>
      <c r="F33" s="190">
        <v>2</v>
      </c>
      <c r="G33" s="190">
        <v>0</v>
      </c>
      <c r="H33" s="190">
        <v>3</v>
      </c>
      <c r="I33" s="190">
        <v>5</v>
      </c>
      <c r="J33" s="190">
        <v>125</v>
      </c>
      <c r="L33" s="152" t="s">
        <v>347</v>
      </c>
      <c r="M33" s="152" t="s">
        <v>167</v>
      </c>
      <c r="N33" s="167"/>
      <c r="O33" s="167"/>
      <c r="P33" s="167"/>
      <c r="Q33" s="167"/>
      <c r="R33" s="167"/>
      <c r="S33" s="167"/>
      <c r="T33" s="167"/>
      <c r="U33" s="167"/>
      <c r="V33" s="167"/>
      <c r="W33" s="154" t="s">
        <v>151</v>
      </c>
      <c r="X33" s="167"/>
      <c r="Y33" s="167"/>
      <c r="Z33" s="167"/>
      <c r="AA33" s="167"/>
      <c r="AB33" s="167"/>
      <c r="AC33" s="167"/>
      <c r="AD33" s="167"/>
      <c r="AE33" s="167"/>
      <c r="AF33" s="154" t="s">
        <v>151</v>
      </c>
      <c r="AG33" s="167"/>
      <c r="AH33" s="167"/>
      <c r="AI33" s="154" t="s">
        <v>151</v>
      </c>
      <c r="AJ33" s="167"/>
      <c r="AK33" s="167"/>
      <c r="AL33" s="154" t="s">
        <v>151</v>
      </c>
      <c r="AM33" s="194">
        <f t="shared" si="0"/>
        <v>4</v>
      </c>
    </row>
    <row r="34" spans="3:39" x14ac:dyDescent="0.25">
      <c r="C34" s="189" t="s">
        <v>334</v>
      </c>
      <c r="D34" s="189" t="s">
        <v>53</v>
      </c>
      <c r="E34" s="190">
        <v>2</v>
      </c>
      <c r="F34" s="190">
        <v>1</v>
      </c>
      <c r="G34" s="190">
        <v>1</v>
      </c>
      <c r="H34" s="190">
        <v>3</v>
      </c>
      <c r="I34" s="190">
        <v>5</v>
      </c>
      <c r="J34" s="190">
        <v>125</v>
      </c>
      <c r="L34" s="152" t="s">
        <v>348</v>
      </c>
      <c r="M34" s="152" t="s">
        <v>168</v>
      </c>
      <c r="N34" s="167"/>
      <c r="O34" s="167"/>
      <c r="P34" s="167"/>
      <c r="Q34" s="167"/>
      <c r="R34" s="167"/>
      <c r="S34" s="167"/>
      <c r="T34" s="167"/>
      <c r="U34" s="167"/>
      <c r="V34" s="167"/>
      <c r="W34" s="167"/>
      <c r="X34" s="167"/>
      <c r="Y34" s="167"/>
      <c r="Z34" s="167"/>
      <c r="AA34" s="167"/>
      <c r="AB34" s="167"/>
      <c r="AC34" s="167"/>
      <c r="AD34" s="167"/>
      <c r="AE34" s="167"/>
      <c r="AF34" s="154" t="s">
        <v>151</v>
      </c>
      <c r="AG34" s="154" t="s">
        <v>151</v>
      </c>
      <c r="AH34" s="154" t="s">
        <v>151</v>
      </c>
      <c r="AI34" s="154" t="s">
        <v>151</v>
      </c>
      <c r="AJ34" s="167"/>
      <c r="AK34" s="167"/>
      <c r="AL34" s="167"/>
      <c r="AM34" s="194">
        <f t="shared" si="0"/>
        <v>4</v>
      </c>
    </row>
    <row r="35" spans="3:39" ht="13.8" x14ac:dyDescent="0.3">
      <c r="C35" s="189" t="s">
        <v>335</v>
      </c>
      <c r="D35" s="189" t="s">
        <v>192</v>
      </c>
      <c r="E35" s="190"/>
      <c r="F35" s="190"/>
      <c r="G35" s="190"/>
      <c r="H35" s="190">
        <v>0</v>
      </c>
      <c r="I35" s="190">
        <v>0</v>
      </c>
      <c r="J35" s="190"/>
      <c r="L35" s="281" t="s">
        <v>384</v>
      </c>
      <c r="M35" s="282" t="s">
        <v>385</v>
      </c>
      <c r="N35" s="281"/>
      <c r="O35" s="281"/>
      <c r="P35" s="281"/>
      <c r="Q35" s="281"/>
      <c r="R35" s="281"/>
      <c r="S35" s="281"/>
      <c r="T35" s="287" t="s">
        <v>151</v>
      </c>
      <c r="U35" s="287"/>
      <c r="V35" s="287"/>
      <c r="W35" s="287"/>
      <c r="X35" s="287"/>
      <c r="Y35" s="287"/>
      <c r="Z35" s="287"/>
      <c r="AA35" s="287"/>
      <c r="AB35" s="287"/>
      <c r="AC35" s="287"/>
      <c r="AD35" s="287" t="s">
        <v>151</v>
      </c>
      <c r="AE35" s="287"/>
      <c r="AF35" s="287"/>
      <c r="AG35" s="287"/>
      <c r="AH35" s="287"/>
      <c r="AI35" s="287"/>
      <c r="AJ35" s="287"/>
      <c r="AK35" s="287"/>
      <c r="AL35" s="287" t="s">
        <v>151</v>
      </c>
      <c r="AM35" s="194">
        <f t="shared" si="0"/>
        <v>3</v>
      </c>
    </row>
    <row r="36" spans="3:39" x14ac:dyDescent="0.25">
      <c r="C36" s="189" t="s">
        <v>336</v>
      </c>
      <c r="D36" s="189" t="s">
        <v>193</v>
      </c>
      <c r="E36" s="190"/>
      <c r="F36" s="190"/>
      <c r="G36" s="190"/>
      <c r="H36" s="190">
        <v>0</v>
      </c>
      <c r="I36" s="190">
        <v>0</v>
      </c>
      <c r="J36" s="190"/>
      <c r="L36" s="281" t="s">
        <v>386</v>
      </c>
      <c r="M36" s="281" t="s">
        <v>388</v>
      </c>
      <c r="N36" s="281"/>
      <c r="O36" s="281"/>
      <c r="P36" s="281"/>
      <c r="Q36" s="281"/>
      <c r="R36" s="281"/>
      <c r="S36" s="281"/>
      <c r="T36" s="287" t="s">
        <v>151</v>
      </c>
      <c r="U36" s="287"/>
      <c r="V36" s="287"/>
      <c r="W36" s="287"/>
      <c r="X36" s="287"/>
      <c r="Y36" s="287"/>
      <c r="Z36" s="287"/>
      <c r="AA36" s="287"/>
      <c r="AB36" s="287"/>
      <c r="AC36" s="287"/>
      <c r="AD36" s="287" t="s">
        <v>151</v>
      </c>
      <c r="AE36" s="287"/>
      <c r="AF36" s="287"/>
      <c r="AG36" s="287"/>
      <c r="AH36" s="287"/>
      <c r="AI36" s="287"/>
      <c r="AJ36" s="287"/>
      <c r="AK36" s="287"/>
      <c r="AL36" s="287" t="s">
        <v>151</v>
      </c>
      <c r="AM36" s="194">
        <f t="shared" si="0"/>
        <v>3</v>
      </c>
    </row>
    <row r="37" spans="3:39" x14ac:dyDescent="0.25">
      <c r="C37" s="189" t="s">
        <v>337</v>
      </c>
      <c r="D37" s="189" t="s">
        <v>159</v>
      </c>
      <c r="E37" s="190">
        <v>2</v>
      </c>
      <c r="F37" s="190">
        <v>2</v>
      </c>
      <c r="G37" s="190">
        <v>0</v>
      </c>
      <c r="H37" s="190">
        <v>3</v>
      </c>
      <c r="I37" s="190">
        <v>5</v>
      </c>
      <c r="J37" s="190">
        <v>125</v>
      </c>
      <c r="L37" s="281" t="s">
        <v>387</v>
      </c>
      <c r="M37" s="281" t="s">
        <v>389</v>
      </c>
      <c r="N37" s="281"/>
      <c r="O37" s="281"/>
      <c r="P37" s="281"/>
      <c r="Q37" s="281"/>
      <c r="R37" s="281"/>
      <c r="S37" s="281"/>
      <c r="T37" s="287" t="s">
        <v>151</v>
      </c>
      <c r="U37" s="287"/>
      <c r="V37" s="287"/>
      <c r="W37" s="287"/>
      <c r="X37" s="287"/>
      <c r="Y37" s="287"/>
      <c r="Z37" s="287"/>
      <c r="AA37" s="287"/>
      <c r="AB37" s="287"/>
      <c r="AC37" s="287"/>
      <c r="AD37" s="287" t="s">
        <v>151</v>
      </c>
      <c r="AE37" s="287"/>
      <c r="AF37" s="287"/>
      <c r="AG37" s="287"/>
      <c r="AH37" s="287"/>
      <c r="AI37" s="287"/>
      <c r="AJ37" s="287"/>
      <c r="AK37" s="287"/>
      <c r="AL37" s="287" t="s">
        <v>151</v>
      </c>
      <c r="AM37" s="194">
        <f t="shared" si="0"/>
        <v>3</v>
      </c>
    </row>
    <row r="38" spans="3:39" x14ac:dyDescent="0.25">
      <c r="C38" s="189" t="s">
        <v>338</v>
      </c>
      <c r="D38" s="189" t="s">
        <v>50</v>
      </c>
      <c r="E38" s="190">
        <v>2</v>
      </c>
      <c r="F38" s="190">
        <v>1</v>
      </c>
      <c r="G38" s="190">
        <v>1</v>
      </c>
      <c r="H38" s="190">
        <v>3</v>
      </c>
      <c r="I38" s="190">
        <v>5</v>
      </c>
      <c r="J38" s="190">
        <v>125</v>
      </c>
      <c r="L38" s="153" t="s">
        <v>359</v>
      </c>
      <c r="M38" s="153" t="s">
        <v>174</v>
      </c>
      <c r="N38" s="168"/>
      <c r="O38" s="168"/>
      <c r="P38" s="168"/>
      <c r="Q38" s="168"/>
      <c r="R38" s="168"/>
      <c r="S38" s="168"/>
      <c r="T38" s="168"/>
      <c r="U38" s="168"/>
      <c r="V38" s="168"/>
      <c r="W38" s="168"/>
      <c r="X38" s="168"/>
      <c r="Y38" s="168"/>
      <c r="Z38" s="169"/>
      <c r="AA38" s="168"/>
      <c r="AB38" s="169"/>
      <c r="AC38" s="168"/>
      <c r="AD38" s="169" t="s">
        <v>151</v>
      </c>
      <c r="AE38" s="168"/>
      <c r="AF38" s="168"/>
      <c r="AG38" s="169"/>
      <c r="AH38" s="168"/>
      <c r="AI38" s="168"/>
      <c r="AJ38" s="168"/>
      <c r="AK38" s="169"/>
      <c r="AL38" s="168"/>
      <c r="AM38" s="194">
        <f t="shared" ref="AM38:AM46" si="3">COUNTIF(N38:AL38,"*X*")</f>
        <v>1</v>
      </c>
    </row>
    <row r="39" spans="3:39" x14ac:dyDescent="0.25">
      <c r="C39" s="189" t="s">
        <v>339</v>
      </c>
      <c r="D39" s="189" t="s">
        <v>160</v>
      </c>
      <c r="E39" s="190">
        <v>2</v>
      </c>
      <c r="F39" s="190">
        <v>1</v>
      </c>
      <c r="G39" s="190">
        <v>1</v>
      </c>
      <c r="H39" s="190">
        <v>3</v>
      </c>
      <c r="I39" s="190">
        <v>5</v>
      </c>
      <c r="J39" s="190">
        <v>125</v>
      </c>
      <c r="L39" s="153" t="s">
        <v>360</v>
      </c>
      <c r="M39" s="153" t="s">
        <v>175</v>
      </c>
      <c r="N39" s="168"/>
      <c r="O39" s="168"/>
      <c r="P39" s="168"/>
      <c r="Q39" s="168"/>
      <c r="R39" s="168"/>
      <c r="S39" s="168"/>
      <c r="T39" s="168"/>
      <c r="U39" s="168"/>
      <c r="V39" s="168"/>
      <c r="W39" s="168"/>
      <c r="X39" s="168"/>
      <c r="Y39" s="168"/>
      <c r="Z39" s="168"/>
      <c r="AA39" s="168"/>
      <c r="AB39" s="168"/>
      <c r="AC39" s="168"/>
      <c r="AD39" s="169" t="s">
        <v>151</v>
      </c>
      <c r="AE39" s="168"/>
      <c r="AF39" s="169" t="s">
        <v>151</v>
      </c>
      <c r="AG39" s="168"/>
      <c r="AH39" s="170"/>
      <c r="AI39" s="170"/>
      <c r="AJ39" s="170"/>
      <c r="AK39" s="169" t="s">
        <v>151</v>
      </c>
      <c r="AL39" s="170"/>
      <c r="AM39" s="194">
        <f t="shared" si="3"/>
        <v>3</v>
      </c>
    </row>
    <row r="40" spans="3:39" x14ac:dyDescent="0.25">
      <c r="C40" s="189" t="s">
        <v>340</v>
      </c>
      <c r="D40" s="189" t="s">
        <v>71</v>
      </c>
      <c r="E40" s="190">
        <v>1</v>
      </c>
      <c r="F40" s="190">
        <v>0</v>
      </c>
      <c r="G40" s="190">
        <v>4</v>
      </c>
      <c r="H40" s="190">
        <v>3</v>
      </c>
      <c r="I40" s="190">
        <v>5</v>
      </c>
      <c r="J40" s="190">
        <v>125</v>
      </c>
      <c r="L40" s="153" t="s">
        <v>361</v>
      </c>
      <c r="M40" s="153" t="s">
        <v>79</v>
      </c>
      <c r="N40" s="168"/>
      <c r="O40" s="168"/>
      <c r="P40" s="168"/>
      <c r="Q40" s="168"/>
      <c r="R40" s="168"/>
      <c r="S40" s="168"/>
      <c r="T40" s="168"/>
      <c r="U40" s="168"/>
      <c r="V40" s="168"/>
      <c r="W40" s="168"/>
      <c r="X40" s="168"/>
      <c r="Y40" s="168"/>
      <c r="Z40" s="168"/>
      <c r="AA40" s="168"/>
      <c r="AB40" s="169"/>
      <c r="AC40" s="168"/>
      <c r="AD40" s="169" t="s">
        <v>151</v>
      </c>
      <c r="AE40" s="168"/>
      <c r="AF40" s="168"/>
      <c r="AG40" s="169"/>
      <c r="AH40" s="168"/>
      <c r="AI40" s="168"/>
      <c r="AJ40" s="168"/>
      <c r="AK40" s="169" t="s">
        <v>151</v>
      </c>
      <c r="AL40" s="168"/>
      <c r="AM40" s="194">
        <f t="shared" si="3"/>
        <v>2</v>
      </c>
    </row>
    <row r="41" spans="3:39" x14ac:dyDescent="0.25">
      <c r="C41" s="189" t="s">
        <v>341</v>
      </c>
      <c r="D41" s="189" t="s">
        <v>161</v>
      </c>
      <c r="E41" s="190">
        <v>1</v>
      </c>
      <c r="F41" s="190">
        <v>0</v>
      </c>
      <c r="G41" s="190">
        <v>4</v>
      </c>
      <c r="H41" s="190">
        <v>3</v>
      </c>
      <c r="I41" s="190">
        <v>5</v>
      </c>
      <c r="J41" s="190">
        <v>125</v>
      </c>
      <c r="L41" s="153" t="s">
        <v>362</v>
      </c>
      <c r="M41" s="153" t="s">
        <v>69</v>
      </c>
      <c r="N41" s="168"/>
      <c r="O41" s="168"/>
      <c r="P41" s="168"/>
      <c r="Q41" s="168"/>
      <c r="R41" s="168"/>
      <c r="S41" s="168"/>
      <c r="T41" s="168"/>
      <c r="U41" s="168"/>
      <c r="V41" s="168"/>
      <c r="W41" s="168"/>
      <c r="X41" s="168"/>
      <c r="Y41" s="168"/>
      <c r="Z41" s="168"/>
      <c r="AA41" s="168"/>
      <c r="AB41" s="168"/>
      <c r="AC41" s="168"/>
      <c r="AD41" s="168"/>
      <c r="AE41" s="168"/>
      <c r="AF41" s="168"/>
      <c r="AG41" s="169" t="s">
        <v>151</v>
      </c>
      <c r="AH41" s="168"/>
      <c r="AI41" s="169" t="s">
        <v>151</v>
      </c>
      <c r="AJ41" s="169" t="s">
        <v>151</v>
      </c>
      <c r="AK41" s="168"/>
      <c r="AL41" s="169" t="s">
        <v>151</v>
      </c>
      <c r="AM41" s="194">
        <f t="shared" si="3"/>
        <v>4</v>
      </c>
    </row>
    <row r="42" spans="3:39" x14ac:dyDescent="0.25">
      <c r="C42" s="189" t="s">
        <v>162</v>
      </c>
      <c r="D42" s="189" t="s">
        <v>163</v>
      </c>
      <c r="E42" s="190">
        <v>2</v>
      </c>
      <c r="F42" s="190">
        <v>1</v>
      </c>
      <c r="G42" s="190">
        <v>1</v>
      </c>
      <c r="H42" s="190">
        <v>3</v>
      </c>
      <c r="I42" s="190">
        <v>5</v>
      </c>
      <c r="J42" s="190">
        <v>125</v>
      </c>
      <c r="L42" s="153" t="s">
        <v>363</v>
      </c>
      <c r="M42" s="153" t="s">
        <v>176</v>
      </c>
      <c r="N42" s="168"/>
      <c r="O42" s="168"/>
      <c r="P42" s="168"/>
      <c r="Q42" s="168"/>
      <c r="R42" s="168"/>
      <c r="S42" s="168"/>
      <c r="T42" s="168"/>
      <c r="U42" s="168"/>
      <c r="V42" s="168"/>
      <c r="W42" s="168"/>
      <c r="X42" s="168"/>
      <c r="Y42" s="168"/>
      <c r="Z42" s="168"/>
      <c r="AA42" s="168"/>
      <c r="AB42" s="168"/>
      <c r="AC42" s="168"/>
      <c r="AD42" s="168"/>
      <c r="AE42" s="168"/>
      <c r="AF42" s="169" t="s">
        <v>151</v>
      </c>
      <c r="AG42" s="168"/>
      <c r="AH42" s="169" t="s">
        <v>151</v>
      </c>
      <c r="AI42" s="169" t="s">
        <v>151</v>
      </c>
      <c r="AJ42" s="168"/>
      <c r="AK42" s="168"/>
      <c r="AL42" s="168"/>
      <c r="AM42" s="194">
        <f t="shared" si="3"/>
        <v>3</v>
      </c>
    </row>
    <row r="43" spans="3:39" x14ac:dyDescent="0.25">
      <c r="C43" s="189" t="s">
        <v>352</v>
      </c>
      <c r="D43" s="189" t="s">
        <v>26</v>
      </c>
      <c r="E43" s="190">
        <v>2</v>
      </c>
      <c r="F43" s="190">
        <v>2</v>
      </c>
      <c r="G43" s="190">
        <v>0</v>
      </c>
      <c r="H43" s="190">
        <v>3</v>
      </c>
      <c r="I43" s="190">
        <v>5</v>
      </c>
      <c r="J43" s="190">
        <v>125</v>
      </c>
      <c r="L43" s="153" t="s">
        <v>364</v>
      </c>
      <c r="M43" s="153" t="s">
        <v>66</v>
      </c>
      <c r="N43" s="168"/>
      <c r="O43" s="168"/>
      <c r="P43" s="168"/>
      <c r="Q43" s="168"/>
      <c r="R43" s="168"/>
      <c r="S43" s="168"/>
      <c r="T43" s="168"/>
      <c r="U43" s="168"/>
      <c r="V43" s="168"/>
      <c r="W43" s="168"/>
      <c r="X43" s="168"/>
      <c r="Y43" s="168"/>
      <c r="Z43" s="168"/>
      <c r="AA43" s="168"/>
      <c r="AB43" s="168"/>
      <c r="AC43" s="168"/>
      <c r="AD43" s="169" t="s">
        <v>151</v>
      </c>
      <c r="AE43" s="169" t="s">
        <v>151</v>
      </c>
      <c r="AF43" s="168"/>
      <c r="AG43" s="168"/>
      <c r="AH43" s="168"/>
      <c r="AI43" s="168"/>
      <c r="AJ43" s="169" t="s">
        <v>151</v>
      </c>
      <c r="AK43" s="168"/>
      <c r="AL43" s="168"/>
      <c r="AM43" s="194">
        <f t="shared" si="3"/>
        <v>3</v>
      </c>
    </row>
    <row r="44" spans="3:39" x14ac:dyDescent="0.25">
      <c r="C44" s="189" t="s">
        <v>353</v>
      </c>
      <c r="D44" s="189" t="s">
        <v>38</v>
      </c>
      <c r="E44" s="190">
        <v>2</v>
      </c>
      <c r="F44" s="190">
        <v>2</v>
      </c>
      <c r="G44" s="190">
        <v>0</v>
      </c>
      <c r="H44" s="190">
        <v>3</v>
      </c>
      <c r="I44" s="190">
        <v>5</v>
      </c>
      <c r="J44" s="190">
        <v>125</v>
      </c>
      <c r="L44" s="153" t="s">
        <v>365</v>
      </c>
      <c r="M44" s="153" t="s">
        <v>126</v>
      </c>
      <c r="N44" s="168"/>
      <c r="O44" s="168"/>
      <c r="P44" s="168"/>
      <c r="Q44" s="168"/>
      <c r="R44" s="168"/>
      <c r="S44" s="168"/>
      <c r="T44" s="168"/>
      <c r="U44" s="168"/>
      <c r="V44" s="168"/>
      <c r="W44" s="168"/>
      <c r="X44" s="168"/>
      <c r="Y44" s="168"/>
      <c r="Z44" s="168"/>
      <c r="AA44" s="168"/>
      <c r="AB44" s="168"/>
      <c r="AC44" s="168"/>
      <c r="AD44" s="168"/>
      <c r="AE44" s="168"/>
      <c r="AF44" s="169" t="s">
        <v>151</v>
      </c>
      <c r="AG44" s="168"/>
      <c r="AH44" s="168"/>
      <c r="AI44" s="168"/>
      <c r="AJ44" s="168"/>
      <c r="AK44" s="169" t="s">
        <v>151</v>
      </c>
      <c r="AL44" s="168"/>
      <c r="AM44" s="194">
        <f t="shared" si="3"/>
        <v>2</v>
      </c>
    </row>
    <row r="45" spans="3:39" x14ac:dyDescent="0.25">
      <c r="C45" s="189" t="s">
        <v>354</v>
      </c>
      <c r="D45" s="189" t="s">
        <v>65</v>
      </c>
      <c r="E45" s="190">
        <v>2</v>
      </c>
      <c r="F45" s="190">
        <v>2</v>
      </c>
      <c r="G45" s="190">
        <v>0</v>
      </c>
      <c r="H45" s="190">
        <v>3</v>
      </c>
      <c r="I45" s="190">
        <v>5</v>
      </c>
      <c r="J45" s="190">
        <v>125</v>
      </c>
      <c r="L45" s="153" t="s">
        <v>366</v>
      </c>
      <c r="M45" s="153" t="s">
        <v>91</v>
      </c>
      <c r="N45" s="168"/>
      <c r="O45" s="168"/>
      <c r="P45" s="168"/>
      <c r="Q45" s="168"/>
      <c r="R45" s="168"/>
      <c r="S45" s="168"/>
      <c r="T45" s="168"/>
      <c r="U45" s="168"/>
      <c r="V45" s="168"/>
      <c r="W45" s="168"/>
      <c r="X45" s="168"/>
      <c r="Y45" s="168"/>
      <c r="Z45" s="168"/>
      <c r="AA45" s="168"/>
      <c r="AB45" s="168"/>
      <c r="AC45" s="168"/>
      <c r="AD45" s="169" t="s">
        <v>151</v>
      </c>
      <c r="AE45" s="168"/>
      <c r="AF45" s="168"/>
      <c r="AG45" s="168"/>
      <c r="AH45" s="168"/>
      <c r="AI45" s="168"/>
      <c r="AJ45" s="169" t="s">
        <v>151</v>
      </c>
      <c r="AK45" s="169" t="s">
        <v>151</v>
      </c>
      <c r="AL45" s="168"/>
      <c r="AM45" s="194">
        <f t="shared" si="3"/>
        <v>3</v>
      </c>
    </row>
    <row r="46" spans="3:39" x14ac:dyDescent="0.25">
      <c r="D46" s="156">
        <f>COUNTA(D22:D45)</f>
        <v>24</v>
      </c>
      <c r="E46" s="193">
        <f>SUM(E22:E45)</f>
        <v>40</v>
      </c>
      <c r="F46" s="193">
        <f t="shared" ref="F46:J46" si="4">SUM(F22:F45)</f>
        <v>33</v>
      </c>
      <c r="G46" s="193">
        <f t="shared" si="4"/>
        <v>19</v>
      </c>
      <c r="H46" s="193">
        <f t="shared" si="4"/>
        <v>66</v>
      </c>
      <c r="I46" s="193">
        <f t="shared" si="4"/>
        <v>110</v>
      </c>
      <c r="J46" s="193">
        <f t="shared" si="4"/>
        <v>2750</v>
      </c>
      <c r="L46" s="153" t="s">
        <v>246</v>
      </c>
      <c r="M46" s="153" t="s">
        <v>177</v>
      </c>
      <c r="N46" s="168"/>
      <c r="O46" s="168"/>
      <c r="P46" s="168"/>
      <c r="Q46" s="168"/>
      <c r="R46" s="168"/>
      <c r="S46" s="168"/>
      <c r="T46" s="168"/>
      <c r="U46" s="168" t="s">
        <v>151</v>
      </c>
      <c r="V46" s="168" t="s">
        <v>151</v>
      </c>
      <c r="W46" s="168"/>
      <c r="X46" s="168"/>
      <c r="Y46" s="168"/>
      <c r="Z46" s="168"/>
      <c r="AA46" s="168"/>
      <c r="AB46" s="168"/>
      <c r="AC46" s="168"/>
      <c r="AD46" s="168"/>
      <c r="AE46" s="168"/>
      <c r="AF46" s="168"/>
      <c r="AG46" s="168"/>
      <c r="AH46" s="168"/>
      <c r="AI46" s="168"/>
      <c r="AJ46" s="168"/>
      <c r="AK46" s="169"/>
      <c r="AL46" s="168"/>
      <c r="AM46" s="194">
        <f t="shared" si="3"/>
        <v>2</v>
      </c>
    </row>
    <row r="47" spans="3:39" x14ac:dyDescent="0.25">
      <c r="C47" s="191" t="s">
        <v>342</v>
      </c>
      <c r="D47" s="191" t="s">
        <v>55</v>
      </c>
      <c r="E47" s="192">
        <v>2</v>
      </c>
      <c r="F47" s="192">
        <v>2</v>
      </c>
      <c r="G47" s="192">
        <v>0</v>
      </c>
      <c r="H47" s="192">
        <v>3</v>
      </c>
      <c r="I47" s="192">
        <v>5</v>
      </c>
      <c r="J47" s="192">
        <v>125</v>
      </c>
      <c r="N47" s="194">
        <f t="shared" ref="N47:AL47" si="5">COUNTIF(N4:N46,"*X*")</f>
        <v>0</v>
      </c>
      <c r="O47" s="194">
        <f t="shared" si="5"/>
        <v>0</v>
      </c>
      <c r="P47" s="194">
        <f t="shared" si="5"/>
        <v>0</v>
      </c>
      <c r="Q47" s="194">
        <f t="shared" si="5"/>
        <v>0</v>
      </c>
      <c r="R47" s="194">
        <f t="shared" si="5"/>
        <v>0</v>
      </c>
      <c r="S47" s="194">
        <f t="shared" si="5"/>
        <v>0</v>
      </c>
      <c r="T47" s="194">
        <f t="shared" si="5"/>
        <v>9</v>
      </c>
      <c r="U47" s="194">
        <f t="shared" si="5"/>
        <v>9</v>
      </c>
      <c r="V47" s="194">
        <f t="shared" si="5"/>
        <v>8</v>
      </c>
      <c r="W47" s="194">
        <f t="shared" si="5"/>
        <v>7</v>
      </c>
      <c r="X47" s="194">
        <f t="shared" si="5"/>
        <v>3</v>
      </c>
      <c r="Y47" s="194">
        <f t="shared" si="5"/>
        <v>5</v>
      </c>
      <c r="Z47" s="194">
        <f t="shared" si="5"/>
        <v>3</v>
      </c>
      <c r="AA47" s="194">
        <f t="shared" si="5"/>
        <v>3</v>
      </c>
      <c r="AB47" s="194">
        <f t="shared" si="5"/>
        <v>1</v>
      </c>
      <c r="AC47" s="194">
        <f t="shared" si="5"/>
        <v>2</v>
      </c>
      <c r="AD47" s="194">
        <f t="shared" si="5"/>
        <v>18</v>
      </c>
      <c r="AE47" s="194">
        <f t="shared" si="5"/>
        <v>13</v>
      </c>
      <c r="AF47" s="194">
        <f t="shared" si="5"/>
        <v>14</v>
      </c>
      <c r="AG47" s="194">
        <f t="shared" si="5"/>
        <v>7</v>
      </c>
      <c r="AH47" s="194">
        <f t="shared" si="5"/>
        <v>3</v>
      </c>
      <c r="AI47" s="194">
        <f t="shared" si="5"/>
        <v>5</v>
      </c>
      <c r="AJ47" s="194">
        <f t="shared" si="5"/>
        <v>7</v>
      </c>
      <c r="AK47" s="194">
        <f t="shared" si="5"/>
        <v>5</v>
      </c>
      <c r="AL47" s="194">
        <f t="shared" si="5"/>
        <v>6</v>
      </c>
    </row>
    <row r="48" spans="3:39" x14ac:dyDescent="0.25">
      <c r="C48" s="191" t="s">
        <v>343</v>
      </c>
      <c r="D48" s="191" t="s">
        <v>57</v>
      </c>
      <c r="E48" s="192">
        <v>2</v>
      </c>
      <c r="F48" s="192">
        <v>2</v>
      </c>
      <c r="G48" s="192">
        <v>0</v>
      </c>
      <c r="H48" s="192">
        <v>3</v>
      </c>
      <c r="I48" s="192">
        <v>5</v>
      </c>
      <c r="J48" s="192">
        <v>125</v>
      </c>
    </row>
    <row r="49" spans="3:12" x14ac:dyDescent="0.25">
      <c r="C49" s="191" t="s">
        <v>344</v>
      </c>
      <c r="D49" s="191" t="s">
        <v>164</v>
      </c>
      <c r="E49" s="192">
        <v>2</v>
      </c>
      <c r="F49" s="192">
        <v>1</v>
      </c>
      <c r="G49" s="192">
        <v>1</v>
      </c>
      <c r="H49" s="192">
        <v>3</v>
      </c>
      <c r="I49" s="192">
        <v>5</v>
      </c>
      <c r="J49" s="192">
        <v>125</v>
      </c>
    </row>
    <row r="50" spans="3:12" x14ac:dyDescent="0.25">
      <c r="C50" s="191" t="s">
        <v>345</v>
      </c>
      <c r="D50" s="191" t="s">
        <v>165</v>
      </c>
      <c r="E50" s="192">
        <v>2</v>
      </c>
      <c r="F50" s="192">
        <v>2</v>
      </c>
      <c r="G50" s="192">
        <v>0</v>
      </c>
      <c r="H50" s="192">
        <v>3</v>
      </c>
      <c r="I50" s="192">
        <v>5</v>
      </c>
      <c r="J50" s="192">
        <v>125</v>
      </c>
    </row>
    <row r="51" spans="3:12" x14ac:dyDescent="0.25">
      <c r="C51" s="191" t="s">
        <v>346</v>
      </c>
      <c r="D51" s="191" t="s">
        <v>166</v>
      </c>
      <c r="E51" s="192">
        <v>2</v>
      </c>
      <c r="F51" s="192">
        <v>2</v>
      </c>
      <c r="G51" s="192">
        <v>0</v>
      </c>
      <c r="H51" s="192">
        <v>3</v>
      </c>
      <c r="I51" s="192">
        <v>5</v>
      </c>
      <c r="J51" s="192">
        <v>125</v>
      </c>
    </row>
    <row r="52" spans="3:12" x14ac:dyDescent="0.25">
      <c r="C52" s="191" t="s">
        <v>347</v>
      </c>
      <c r="D52" s="191" t="s">
        <v>167</v>
      </c>
      <c r="E52" s="192">
        <v>2</v>
      </c>
      <c r="F52" s="192">
        <v>2</v>
      </c>
      <c r="G52" s="192">
        <v>0</v>
      </c>
      <c r="H52" s="192">
        <v>3</v>
      </c>
      <c r="I52" s="192">
        <v>5</v>
      </c>
      <c r="J52" s="192">
        <v>125</v>
      </c>
    </row>
    <row r="53" spans="3:12" x14ac:dyDescent="0.25">
      <c r="C53" s="191" t="s">
        <v>348</v>
      </c>
      <c r="D53" s="191" t="s">
        <v>168</v>
      </c>
      <c r="E53" s="192">
        <v>2</v>
      </c>
      <c r="F53" s="192">
        <v>2</v>
      </c>
      <c r="G53" s="192">
        <v>0</v>
      </c>
      <c r="H53" s="192">
        <v>3</v>
      </c>
      <c r="I53" s="192">
        <v>5</v>
      </c>
      <c r="J53" s="192">
        <v>125</v>
      </c>
    </row>
    <row r="54" spans="3:12" x14ac:dyDescent="0.25">
      <c r="C54" s="280" t="s">
        <v>381</v>
      </c>
      <c r="D54" s="280" t="s">
        <v>383</v>
      </c>
      <c r="E54" s="192">
        <v>2</v>
      </c>
      <c r="F54" s="277">
        <v>2</v>
      </c>
      <c r="G54" s="277">
        <v>0</v>
      </c>
      <c r="H54" s="192">
        <v>3</v>
      </c>
      <c r="I54" s="192">
        <v>5</v>
      </c>
      <c r="J54" s="192">
        <v>125</v>
      </c>
    </row>
    <row r="55" spans="3:12" x14ac:dyDescent="0.25">
      <c r="C55" s="280" t="s">
        <v>318</v>
      </c>
      <c r="D55" s="280" t="s">
        <v>116</v>
      </c>
      <c r="E55" s="192">
        <v>2</v>
      </c>
      <c r="F55" s="192">
        <v>1</v>
      </c>
      <c r="G55" s="192">
        <v>1</v>
      </c>
      <c r="H55" s="192">
        <v>3</v>
      </c>
      <c r="I55" s="192">
        <v>5</v>
      </c>
      <c r="J55" s="192">
        <v>125</v>
      </c>
    </row>
    <row r="56" spans="3:12" x14ac:dyDescent="0.25">
      <c r="C56" s="280" t="s">
        <v>319</v>
      </c>
      <c r="D56" s="280" t="s">
        <v>117</v>
      </c>
      <c r="E56" s="192">
        <v>2</v>
      </c>
      <c r="F56" s="192">
        <v>1</v>
      </c>
      <c r="G56" s="192">
        <v>1</v>
      </c>
      <c r="H56" s="192">
        <v>3</v>
      </c>
      <c r="I56" s="192">
        <v>5</v>
      </c>
      <c r="J56" s="192">
        <v>125</v>
      </c>
    </row>
    <row r="57" spans="3:12" x14ac:dyDescent="0.25">
      <c r="C57" s="280" t="s">
        <v>320</v>
      </c>
      <c r="D57" s="280" t="s">
        <v>118</v>
      </c>
      <c r="E57" s="192">
        <v>2</v>
      </c>
      <c r="F57" s="192">
        <v>1</v>
      </c>
      <c r="G57" s="192">
        <v>1</v>
      </c>
      <c r="H57" s="192">
        <v>3</v>
      </c>
      <c r="I57" s="192">
        <v>5</v>
      </c>
      <c r="J57" s="192">
        <v>125</v>
      </c>
    </row>
    <row r="58" spans="3:12" x14ac:dyDescent="0.25">
      <c r="C58" s="280" t="s">
        <v>321</v>
      </c>
      <c r="D58" s="280" t="s">
        <v>119</v>
      </c>
      <c r="E58" s="192">
        <v>2</v>
      </c>
      <c r="F58" s="192">
        <v>1</v>
      </c>
      <c r="G58" s="192">
        <v>1</v>
      </c>
      <c r="H58" s="192">
        <v>3</v>
      </c>
      <c r="I58" s="192">
        <v>5</v>
      </c>
      <c r="J58" s="192">
        <v>125</v>
      </c>
    </row>
    <row r="59" spans="3:12" x14ac:dyDescent="0.25">
      <c r="D59" s="156">
        <f>COUNTA(D47:D58)</f>
        <v>12</v>
      </c>
      <c r="E59" s="193">
        <f>SUM(E47:E58)</f>
        <v>24</v>
      </c>
      <c r="F59" s="193">
        <f>SUM(F47:F58)</f>
        <v>19</v>
      </c>
      <c r="G59" s="193">
        <f t="shared" ref="G59:J59" si="6">SUM(G47:G58)</f>
        <v>5</v>
      </c>
      <c r="H59" s="193">
        <f t="shared" si="6"/>
        <v>36</v>
      </c>
      <c r="I59" s="193">
        <f t="shared" si="6"/>
        <v>60</v>
      </c>
      <c r="J59" s="193">
        <f t="shared" si="6"/>
        <v>1500</v>
      </c>
    </row>
    <row r="60" spans="3:12" ht="15" x14ac:dyDescent="0.25">
      <c r="D60" s="258">
        <f>D10+D21+D46+D59</f>
        <v>52</v>
      </c>
      <c r="E60" s="258">
        <f>E10+E21+E46+E59</f>
        <v>94</v>
      </c>
      <c r="F60" s="258">
        <f t="shared" ref="F60:J60" si="7">F10+F21+F46+F59</f>
        <v>70</v>
      </c>
      <c r="G60" s="258">
        <f t="shared" si="7"/>
        <v>31</v>
      </c>
      <c r="H60" s="258">
        <f t="shared" si="7"/>
        <v>144</v>
      </c>
      <c r="I60" s="258">
        <f t="shared" si="7"/>
        <v>240</v>
      </c>
      <c r="J60" s="258">
        <f t="shared" si="7"/>
        <v>6000</v>
      </c>
      <c r="L60" s="258">
        <f>SUM(E60:G60)</f>
        <v>195</v>
      </c>
    </row>
  </sheetData>
  <phoneticPr fontId="10" type="noConversion"/>
  <pageMargins left="0.16" right="0.16" top="1.07" bottom="0.16" header="0.16" footer="0.16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3FE8B-44D5-4CBE-AF16-D2C2B5DD2303}">
  <sheetPr>
    <tabColor rgb="FF00B0F0"/>
    <pageSetUpPr fitToPage="1"/>
  </sheetPr>
  <dimension ref="A2:AH81"/>
  <sheetViews>
    <sheetView tabSelected="1" topLeftCell="A37" zoomScale="70" zoomScaleNormal="70" workbookViewId="0">
      <selection activeCell="F60" sqref="F60"/>
    </sheetView>
  </sheetViews>
  <sheetFormatPr defaultRowHeight="14.4" x14ac:dyDescent="0.3"/>
  <cols>
    <col min="1" max="1" width="8.88671875" customWidth="1"/>
    <col min="3" max="3" width="49.6640625" customWidth="1"/>
    <col min="5" max="5" width="6.33203125" customWidth="1"/>
    <col min="6" max="6" width="7.88671875" customWidth="1"/>
    <col min="7" max="8" width="7.6640625" customWidth="1"/>
    <col min="9" max="9" width="7.33203125" customWidth="1"/>
    <col min="10" max="10" width="7.109375" hidden="1" customWidth="1"/>
    <col min="11" max="11" width="11.6640625" customWidth="1"/>
    <col min="12" max="12" width="8.77734375" hidden="1" customWidth="1"/>
    <col min="13" max="13" width="9.77734375" hidden="1" customWidth="1"/>
    <col min="14" max="14" width="6.88671875" hidden="1" customWidth="1"/>
    <col min="15" max="15" width="6.21875" hidden="1" customWidth="1"/>
    <col min="16" max="16" width="6.33203125" hidden="1" customWidth="1"/>
    <col min="17" max="17" width="6.77734375" hidden="1" customWidth="1"/>
    <col min="20" max="20" width="53.33203125" customWidth="1"/>
    <col min="22" max="22" width="6.33203125" bestFit="1" customWidth="1"/>
    <col min="23" max="23" width="7.33203125" customWidth="1"/>
    <col min="24" max="25" width="8.88671875" customWidth="1"/>
    <col min="26" max="26" width="8.109375" customWidth="1"/>
    <col min="27" max="27" width="8.88671875" hidden="1" customWidth="1"/>
    <col min="31" max="31" width="8" customWidth="1"/>
  </cols>
  <sheetData>
    <row r="2" spans="1:34" ht="21" customHeight="1" x14ac:dyDescent="0.3">
      <c r="B2" s="29"/>
      <c r="C2" s="296" t="s">
        <v>0</v>
      </c>
      <c r="D2" s="298" t="s">
        <v>1</v>
      </c>
      <c r="E2" s="298"/>
      <c r="F2" s="298"/>
      <c r="G2" s="298" t="s">
        <v>2</v>
      </c>
      <c r="H2" s="298"/>
      <c r="I2" s="298"/>
      <c r="J2" s="298"/>
      <c r="K2" s="298" t="s">
        <v>82</v>
      </c>
      <c r="L2" s="298" t="s">
        <v>81</v>
      </c>
      <c r="M2" s="298" t="s">
        <v>83</v>
      </c>
      <c r="R2" s="82"/>
      <c r="S2" s="300" t="s">
        <v>102</v>
      </c>
      <c r="T2" s="300"/>
      <c r="U2" s="300"/>
      <c r="V2" s="300"/>
      <c r="W2" s="300"/>
      <c r="X2" s="300"/>
      <c r="Y2" s="300"/>
      <c r="Z2" s="300"/>
      <c r="AA2" s="300"/>
      <c r="AB2" s="300"/>
      <c r="AC2" s="300"/>
      <c r="AD2" s="300"/>
      <c r="AE2" s="300"/>
      <c r="AF2" s="300"/>
      <c r="AG2" s="300"/>
      <c r="AH2" s="300"/>
    </row>
    <row r="3" spans="1:34" ht="14.4" customHeight="1" x14ac:dyDescent="0.3">
      <c r="B3" s="29"/>
      <c r="C3" s="297"/>
      <c r="D3" s="17" t="s">
        <v>3</v>
      </c>
      <c r="E3" s="17" t="s">
        <v>4</v>
      </c>
      <c r="F3" s="17" t="s">
        <v>5</v>
      </c>
      <c r="G3" s="17" t="s">
        <v>6</v>
      </c>
      <c r="H3" s="17" t="s">
        <v>7</v>
      </c>
      <c r="I3" s="17" t="s">
        <v>8</v>
      </c>
      <c r="J3" s="17" t="s">
        <v>9</v>
      </c>
      <c r="K3" s="299"/>
      <c r="L3" s="299"/>
      <c r="M3" s="299"/>
      <c r="Q3" s="82"/>
      <c r="R3" s="82"/>
      <c r="S3" s="300"/>
      <c r="T3" s="300"/>
      <c r="U3" s="300"/>
      <c r="V3" s="300"/>
      <c r="W3" s="300"/>
      <c r="X3" s="300"/>
      <c r="Y3" s="300"/>
      <c r="Z3" s="300"/>
      <c r="AA3" s="300"/>
      <c r="AB3" s="300"/>
      <c r="AC3" s="300"/>
      <c r="AD3" s="300"/>
      <c r="AE3" s="300"/>
      <c r="AF3" s="300"/>
      <c r="AG3" s="300"/>
      <c r="AH3" s="300"/>
    </row>
    <row r="4" spans="1:34" ht="14.4" customHeight="1" x14ac:dyDescent="0.3">
      <c r="B4" s="77"/>
      <c r="C4" s="37" t="s">
        <v>10</v>
      </c>
      <c r="D4" s="7" cm="1">
        <f t="array" ref="D4">SUM(SUM(D14:D21*$L14:$L21),SUM(U14:U21*$AC14:$AC21), SUM(D26:D33*$L26:$L33), SUM(U26:U33*$AC26:$AC33), SUM(D38:D45*$L38:$L45), SUM(U38:U45*$AC38:$AC45),SUM(D50:D56*$L50:$L56), SUM(U50:U56*$AC50:$AC56))</f>
        <v>12</v>
      </c>
      <c r="E4" s="7" cm="1">
        <f t="array" ref="E4">SUM(SUM(E14:E21*$L14:$L21),SUM(V14:V21*$AC14:$AC21), SUM(E26:E33*$L26:$L33), SUM(V26:V33*$AC26:$AC33), SUM(E38:E45*$L38:$L45), SUM(V38:V45*$AC38:$AC45),SUM(E50:E56*$L50:$L56), SUM(V50:V56*$AC50:$AC56))</f>
        <v>20</v>
      </c>
      <c r="F4" s="7" cm="1">
        <f t="array" ref="F4">SUM(SUM(F14:F21*$L14:$L21),SUM(W14:W21*$AC14:$AC21), SUM(F26:F33*$L26:$L33), SUM(W26:W33*$AC26:$AC33), SUM(F38:F45*$L38:$L45), SUM(W38:W45*$AC38:$AC45),SUM(F50:F56*$L50:$L56), SUM(W50:W56*$AC50:$AC56))</f>
        <v>500</v>
      </c>
      <c r="G4" s="7" cm="1">
        <f t="array" ref="G4">SUM(SUM(G14:G21*$L14:$L21),SUM(X14:X21*$AC14:$AC21), SUM(G26:G33*$L26:$L33), SUM(X26:X33*$AC26:$AC33), SUM(G38:G45*$L38:$L45), SUM(X38:X45*$AC38:$AC45),SUM(G50:G56*$L50:$L56), SUM(X50:X56*$AC50:$AC56))</f>
        <v>10</v>
      </c>
      <c r="H4" s="7" cm="1">
        <f t="array" ref="H4">SUM(SUM(H14:H21*$L14:$L21),SUM(Y14:Y21*$AC14:$AC21), SUM(H26:H33*$L26:$L33), SUM(Y26:Y33*$AC26:$AC33), SUM(H38:H45*$L38:$L45), SUM(Y38:Y45*$AC38:$AC45),SUM(H50:H56*$L50:$L56), SUM(Y50:Y56*$AC50:$AC56))</f>
        <v>2</v>
      </c>
      <c r="I4" s="7" cm="1">
        <f t="array" ref="I4">SUM(SUM(I14:I21*$L14:$L21),SUM(Z14:Z21*$AC14:$AC21), SUM(I26:I33*$L26:$L33), SUM(Z26:Z33*$AC26:$AC33), SUM(I38:I45*$L38:$L45), SUM(Z38:Z45*$AC38:$AC45),SUM(I50:I56*$L50:$L56), SUM(Z50:Z56*$AC50:$AC56))</f>
        <v>2</v>
      </c>
      <c r="J4" s="7" cm="1">
        <f t="array" ref="J4">SUM(SUM(J14:J21*$L14:$L21),SUM(AA14:AA21*$AC14:$AC21), SUM(J26:J33*$L26:$L33), SUM(AA26:AA33*$AC26:$AC33), SUM(J38:J45*$L38:$L45), SUM(AA38:AA45*$AC38:$AC45),SUM(J50:J56*$L50:$L56), SUM(AA50:AA56*$AC50:$AC56))</f>
        <v>14</v>
      </c>
      <c r="K4" s="72" t="s">
        <v>11</v>
      </c>
      <c r="L4" s="49">
        <v>0.08</v>
      </c>
      <c r="M4" s="259">
        <f>D4/$D$10</f>
        <v>8.3333333333333329E-2</v>
      </c>
      <c r="Q4" s="82"/>
      <c r="R4" s="82"/>
      <c r="S4" s="300"/>
      <c r="T4" s="300"/>
      <c r="U4" s="300"/>
      <c r="V4" s="300"/>
      <c r="W4" s="300"/>
      <c r="X4" s="300"/>
      <c r="Y4" s="300"/>
      <c r="Z4" s="300"/>
      <c r="AA4" s="300"/>
      <c r="AB4" s="300"/>
      <c r="AC4" s="300"/>
      <c r="AD4" s="300"/>
      <c r="AE4" s="300"/>
      <c r="AF4" s="300"/>
      <c r="AG4" s="300"/>
      <c r="AH4" s="300"/>
    </row>
    <row r="5" spans="1:34" ht="14.4" customHeight="1" x14ac:dyDescent="0.3">
      <c r="B5" s="77"/>
      <c r="C5" s="85" t="s">
        <v>12</v>
      </c>
      <c r="D5" s="35" cm="1">
        <f t="array" ref="D5">SUM(SUM(D14:D21*$M14:$M21),SUM(U14:U21*$AD14:$AD21), SUM(D26:D33*$M26:$M33), SUM(U26:U33*$AD26:$AD33), SUM(D38:D45*$M38:$M45), SUM(U38:U45*$AD38:$AD45),SUM(D50:D56*$M50:$M56), SUM(U50:U56*$AD50:$AD56))</f>
        <v>30</v>
      </c>
      <c r="E5" s="35" cm="1">
        <f t="array" ref="E5">SUM(SUM(E14:E21*$M14:$M21),SUM(V14:V21*$AD14:$AD21), SUM(E26:E33*$M26:$M33), SUM(V26:V33*$AD26:$AD33), SUM(E38:E45*$M38:$M45), SUM(V38:V45*$AD38:$AD45),SUM(E50:E56*$M50:$M56), SUM(V50:V56*$AD50:$AD56))</f>
        <v>50</v>
      </c>
      <c r="F5" s="35" cm="1">
        <f t="array" ref="F5">SUM(SUM(F14:F21*$M14:$M21),SUM(W14:W21*$AD14:$AD21), SUM(F26:F33*$M26:$M33), SUM(W26:W33*$AD26:$AD33), SUM(F38:F45*$M38:$M45), SUM(W38:W45*$AD38:$AD45),SUM(F50:F56*$M50:$M56), SUM(W50:W56*$AD50:$AD56))</f>
        <v>1250</v>
      </c>
      <c r="G5" s="35" cm="1">
        <f t="array" ref="G5">SUM(SUM(G14:G21*$M14:$M21),SUM(X14:X21*$AD14:$AD21), SUM(G26:G33*$M26:$M33), SUM(X26:X33*$AD26:$AD33), SUM(G38:G45*$M38:$M45), SUM(X38:X45*$AD38:$AD45),SUM(G50:G56*$M50:$M56), SUM(X50:X56*$AD50:$AD56))</f>
        <v>20</v>
      </c>
      <c r="H5" s="35" cm="1">
        <f t="array" ref="H5">SUM(SUM(H14:H21*$M14:$M21),SUM(Y14:Y21*$AD14:$AD21), SUM(H26:H33*$M26:$M33), SUM(Y26:Y33*$AD26:$AD33), SUM(H38:H45*$M38:$M45), SUM(Y38:Y45*$AD38:$AD45),SUM(H50:H56*$M50:$M56), SUM(Y50:Y56*$AD50:$AD56))</f>
        <v>16</v>
      </c>
      <c r="I5" s="35" cm="1">
        <f t="array" ref="I5">SUM(SUM(I14:I21*$M14:$M21),SUM(Z14:Z21*$AD14:$AD21), SUM(I26:I33*$M26:$M33), SUM(Z26:Z33*$AD26:$AD33), SUM(I38:I45*$M38:$M45), SUM(Z38:Z45*$AD38:$AD45),SUM(I50:I56*$M50:$M56), SUM(Z50:Z56*$AD50:$AD56))</f>
        <v>5</v>
      </c>
      <c r="J5" s="35" cm="1">
        <f t="array" ref="J5">SUM(SUM(J14:J21*$M14:$M21),SUM(AA14:AA21*$AD14:$AD21), SUM(J26:J33*$M26:$M33), SUM(AA26:AA33*$AD26:$AD33), SUM(J38:J45*$M38:$M45), SUM(AA38:AA45*$AD38:$AD45),SUM(J50:J56*$M50:$M56), SUM(AA50:AA56*$AD50:$AD56))</f>
        <v>41</v>
      </c>
      <c r="K5" s="35" t="s">
        <v>13</v>
      </c>
      <c r="L5" s="36">
        <v>0.2</v>
      </c>
      <c r="M5" s="36">
        <f t="shared" ref="M5:M9" si="0">D5/$D$10</f>
        <v>0.20833333333333334</v>
      </c>
      <c r="Q5" s="82"/>
      <c r="R5" s="82"/>
      <c r="S5" s="300"/>
      <c r="T5" s="300"/>
      <c r="U5" s="300"/>
      <c r="V5" s="300"/>
      <c r="W5" s="300"/>
      <c r="X5" s="300"/>
      <c r="Y5" s="300"/>
      <c r="Z5" s="300"/>
      <c r="AA5" s="300"/>
      <c r="AB5" s="300"/>
      <c r="AC5" s="300"/>
      <c r="AD5" s="300"/>
      <c r="AE5" s="300"/>
      <c r="AF5" s="300"/>
      <c r="AG5" s="300"/>
      <c r="AH5" s="300"/>
    </row>
    <row r="6" spans="1:34" x14ac:dyDescent="0.3">
      <c r="B6" s="77"/>
      <c r="C6" s="39" t="s">
        <v>14</v>
      </c>
      <c r="D6" s="40" cm="1">
        <f t="array" ref="D6">SUM(SUM(D14:D21*$N14:$N21),SUM(U14:U21*$AE14:$AE21), SUM(D26:D33*$N26:$N33), SUM(U26:U33*$AE26:$AE33), SUM(D38:D45*$N38:$N45), SUM(U38:U45*$AE38:$AE45),SUM(D50:D56*$N50:$N56), SUM(U50:U56*$AE50:$AE56))</f>
        <v>27</v>
      </c>
      <c r="E6" s="40" cm="1">
        <f t="array" ref="E6">SUM(SUM(E14:E21*$N14:$N21),SUM(V14:V21*$AE14:$AE21), SUM(E26:E33*$N26:$N33), SUM(V26:V33*$AE26:$AE33), SUM(E38:E45*$N38:$N45), SUM(V38:V45*$AE38:$AE45),SUM(E50:E56*$N50:$N56), SUM(V50:V56*$AE50:$AE56))</f>
        <v>45</v>
      </c>
      <c r="F6" s="40" cm="1">
        <f t="array" ref="F6">SUM(SUM(F14:F21*$N14:$N21),SUM(W14:W21*$AE14:$AE21), SUM(F26:F33*$N26:$N33), SUM(W26:W33*$AE26:$AE33), SUM(F38:F45*$N38:$N45), SUM(W38:W45*$AE38:$AE45),SUM(F50:F56*$N50:$N56), SUM(W50:W56*$AE50:$AE56))</f>
        <v>1125</v>
      </c>
      <c r="G6" s="40" cm="1">
        <f t="array" ref="G6">SUM(SUM(G14:G21*$N14:$N21),SUM(X14:X21*$AE14:$AE21), SUM(G26:G33*$N26:$N33), SUM(X26:X33*$AE26:$AE33), SUM(G38:G45*$N38:$N45), SUM(X38:X45*$AE38:$AE45),SUM(G50:G56*$N50:$N56), SUM(X50:X56*$AE50:$AE56))</f>
        <v>18</v>
      </c>
      <c r="H6" s="40" cm="1">
        <f t="array" ref="H6">SUM(SUM(H14:H21*$N14:$N21),SUM(Y14:Y21*$AE14:$AE21), SUM(H26:H33*$N26:$N33), SUM(Y26:Y33*$AE26:$AE33), SUM(H38:H45*$N38:$N45), SUM(Y38:Y45*$AE38:$AE45),SUM(H50:H56*$N50:$N56), SUM(Y50:Y56*$AE50:$AE56))</f>
        <v>17</v>
      </c>
      <c r="I6" s="40" cm="1">
        <f t="array" ref="I6">SUM(SUM(I14:I21*$N14:$N21),SUM(Z14:Z21*$AE14:$AE21), SUM(I26:I33*$N26:$N33), SUM(Z26:Z33*$AE26:$AE33), SUM(I38:I45*$N38:$N45), SUM(Z38:Z45*$AE38:$AE45),SUM(I50:I56*$N50:$N56), SUM(Z50:Z56*$AE50:$AE56))</f>
        <v>2</v>
      </c>
      <c r="J6" s="40" cm="1">
        <f t="array" ref="J6">SUM(SUM(J14:J21*$N14:$N21),SUM(AA14:AA21*$AE14:$AE21), SUM(J26:J33*$N26:$N33), SUM(AA26:AA33*$AE26:$AE33), SUM(J38:J45*$N38:$N45), SUM(AA38:AA45*$AE38:$AE45),SUM(J50:J56*$N50:$N56), SUM(AA50:AA56*$AE50:$AE56))</f>
        <v>37</v>
      </c>
      <c r="K6" s="40" t="s">
        <v>87</v>
      </c>
      <c r="L6" s="48">
        <v>0.17</v>
      </c>
      <c r="M6" s="48">
        <f t="shared" si="0"/>
        <v>0.1875</v>
      </c>
    </row>
    <row r="7" spans="1:34" x14ac:dyDescent="0.3">
      <c r="B7" s="77"/>
      <c r="C7" s="43" t="s">
        <v>103</v>
      </c>
      <c r="D7" s="44" cm="1">
        <f t="array" ref="D7">SUM(SUM(D14:D21*$O14:$O21),SUM(U14:U21*$AF14:$AF21), SUM(D26:D33*$O26:$O33), SUM(U26:U33*$AF26:$AF33), SUM(D38:D45*$O38:$O45), SUM(U38:U45*$AF38:$AF45),SUM(D50:D56*$O50:$O56), SUM(U50:U56*$AF50:$AF56))</f>
        <v>66</v>
      </c>
      <c r="E7" s="44" cm="1">
        <f t="array" ref="E7">SUM(SUM(E14:E21*$O14:$O21),SUM(V14:V21*$AF14:$AF21), SUM(E26:E33*$O26:$O33), SUM(V26:V33*$AF26:$AF33), SUM(E38:E45*$O38:$O45), SUM(V38:V45*$AF38:$AF45),SUM(E50:E56*$O50:$O56), SUM(V50:V56*$AF50:$AF56))</f>
        <v>110</v>
      </c>
      <c r="F7" s="44" cm="1">
        <f t="array" ref="F7">SUM(SUM(F14:F21*$O14:$O21),SUM(W14:W21*$AF14:$AF21), SUM(F26:F33*$O26:$O33), SUM(W26:W33*$AF26:$AF33), SUM(F38:F45*$O38:$O45), SUM(W38:W45*$AF38:$AF45),SUM(F50:F56*$O50:$O56), SUM(W50:W56*$AF50:$AF56))</f>
        <v>2750</v>
      </c>
      <c r="G7" s="44" cm="1">
        <f t="array" ref="G7">SUM(SUM(G14:G21*$O14:$O21),SUM(X14:X21*$AF14:$AF21), SUM(G26:G33*$O26:$O33), SUM(X26:X33*$AF26:$AF33), SUM(G38:G45*$O38:$O45), SUM(X38:X45*$AF38:$AF45),SUM(G50:G56*$O50:$O56), SUM(X50:X56*$AF50:$AF56))</f>
        <v>40</v>
      </c>
      <c r="H7" s="44" cm="1">
        <f t="array" ref="H7">SUM(SUM(H14:H21*$O14:$O21),SUM(Y14:Y21*$AF14:$AF21), SUM(H26:H33*$O26:$O33), SUM(Y26:Y33*$AF26:$AF33), SUM(H38:H45*$O38:$O45), SUM(Y38:Y45*$AF38:$AF45),SUM(H50:H56*$O50:$O56), SUM(Y50:Y56*$AF50:$AF56))</f>
        <v>33</v>
      </c>
      <c r="I7" s="44" cm="1">
        <f t="array" ref="I7">SUM(SUM(I14:I21*$O14:$O21),SUM(Z14:Z21*$AF14:$AF21), SUM(I26:I33*$O26:$O33), SUM(Z26:Z33*$AF26:$AF33), SUM(I38:I45*$O38:$O45), SUM(Z38:Z45*$AF38:$AF45),SUM(I50:I56*$O50:$O56), SUM(Z50:Z56*$AF50:$AF56))</f>
        <v>19</v>
      </c>
      <c r="J7" s="44" cm="1">
        <f t="array" ref="J7">SUM(SUM(J14:J21*$O14:$O21),SUM(AA14:AA21*$AF14:$AF21), SUM(J26:J33*$O26:$O33), SUM(AA26:AA33*$AF26:$AF33), SUM(J38:J45*$O38:$O45), SUM(AA38:AA45*$AF38:$AF45),SUM(J50:J56*$O50:$O56), SUM(AA50:AA56*$AF50:$AF56))</f>
        <v>92</v>
      </c>
      <c r="K7" s="44" t="s">
        <v>88</v>
      </c>
      <c r="L7" s="47">
        <v>0.35</v>
      </c>
      <c r="M7" s="47">
        <f>D7/$D$10</f>
        <v>0.45833333333333331</v>
      </c>
      <c r="N7" s="2"/>
      <c r="O7" s="84">
        <f>D4+D5+D7+D8</f>
        <v>144</v>
      </c>
      <c r="P7" s="84">
        <f>E4+E5+E7+E8</f>
        <v>240</v>
      </c>
      <c r="Q7" s="2"/>
      <c r="R7" s="2"/>
      <c r="S7" s="2"/>
      <c r="T7" s="2"/>
      <c r="U7" s="2"/>
      <c r="V7" s="2"/>
      <c r="W7" s="2"/>
    </row>
    <row r="8" spans="1:34" x14ac:dyDescent="0.3">
      <c r="B8" s="77"/>
      <c r="C8" s="45" t="s">
        <v>113</v>
      </c>
      <c r="D8" s="46" cm="1">
        <f t="array" ref="D8">SUM(SUM(D14:D21*$P14:$P21),SUM(U14:U21*$AG14:$AG21), SUM(D26:D33*$P26:$P33), SUM(U26:U33*$AG26:$AG33), SUM(D38:D45*$P38:$P45), SUM(U38:U45*$AG38:$AG45),SUM(D50:D56*$P50:$P56), SUM(U50:U56*$AG50:$AG56))</f>
        <v>36</v>
      </c>
      <c r="E8" s="46" cm="1">
        <f t="array" ref="E8">SUM(SUM(E14:E21*$P14:$P21),SUM(V14:V21*$AG14:$AG21), SUM(E26:E33*$P26:$P33), SUM(V26:V33*$AG26:$AG33), SUM(E38:E45*$P38:$P45), SUM(V38:V45*$AG38:$AG45),SUM(E50:E56*$P50:$P56), SUM(V50:V56*$AG50:$AG56))</f>
        <v>60</v>
      </c>
      <c r="F8" s="46" cm="1">
        <f t="array" ref="F8">SUM(SUM(F14:F21*$P14:$P21),SUM(W14:W21*$AG14:$AG21), SUM(F26:F33*$P26:$P33), SUM(W26:W33*$AG26:$AG33), SUM(F38:F45*$P38:$P45), SUM(W38:W45*$AG38:$AG45),SUM(F50:F56*$P50:$P56), SUM(W50:W56*$AG50:$AG56))</f>
        <v>1500</v>
      </c>
      <c r="G8" s="46" cm="1">
        <f t="array" ref="G8">SUM(SUM(G14:G21*$P14:$P21),SUM(X14:X21*$AG14:$AG21), SUM(G26:G33*$P26:$P33), SUM(X26:X33*$AG26:$AG33), SUM(G38:G45*$P38:$P45), SUM(X38:X45*$AG38:$AG45),SUM(G50:G56*$P50:$P56), SUM(X50:X56*$AG50:$AG56))</f>
        <v>24</v>
      </c>
      <c r="H8" s="46" cm="1">
        <f t="array" ref="H8">SUM(SUM(H14:H21*$P14:$P21),SUM(Y14:Y21*$AG14:$AG21), SUM(H26:H33*$P26:$P33), SUM(Y26:Y33*$AG26:$AG33), SUM(H38:H45*$P38:$P45), SUM(Y38:Y45*$AG38:$AG45),SUM(H50:H56*$P50:$P56), SUM(Y50:Y56*$AG50:$AG56))</f>
        <v>19</v>
      </c>
      <c r="I8" s="46" cm="1">
        <f t="array" ref="I8">SUM(SUM(I14:I21*$P14:$P21),SUM(Z14:Z21*$AG14:$AG21), SUM(I26:I33*$P26:$P33), SUM(Z26:Z33*$AG26:$AG33), SUM(I38:I45*$P38:$P45), SUM(Z38:Z45*$AG38:$AG45),SUM(I50:I56*$P50:$P56), SUM(Z50:Z56*$AG50:$AG56))</f>
        <v>5</v>
      </c>
      <c r="J8" s="46" cm="1">
        <f t="array" ref="J8">SUM(SUM(J14:J21*$P14:$P21),SUM(AA14:AA21*$AG14:$AG21), SUM(J26:J33*$P26:$P33), SUM(AA26:AA33*$AG26:$AG33), SUM(J38:J45*$P38:$P45), SUM(AA38:AA45*$AG38:$AG45),SUM(J50:J56*$P50:$P56), SUM(AA50:AA56*$AG50:$AG56))</f>
        <v>48</v>
      </c>
      <c r="K8" s="73" t="s">
        <v>15</v>
      </c>
      <c r="L8" s="71">
        <v>0.3</v>
      </c>
      <c r="M8" s="71">
        <f>D8/$D$10</f>
        <v>0.25</v>
      </c>
      <c r="O8" s="260">
        <f>M4+M5+M7+M8</f>
        <v>1</v>
      </c>
    </row>
    <row r="9" spans="1:34" x14ac:dyDescent="0.3">
      <c r="B9" s="77"/>
      <c r="C9" s="67" t="s">
        <v>115</v>
      </c>
      <c r="D9" s="68" cm="1">
        <f t="array" ref="D9">SUM(SUM(D14:D21*$Q14:$Q21),SUM(U14:U21*$AH14:$AH21), SUM(D26:D33*$Q26:$Q33), SUM(U26:U33*$AH26:$AH33), SUM(D38:D45*$Q38:$Q45), SUM(U38:U45*$AH38:$AH45),SUM(D50:D56*$Q50:$Q56), SUM(U50:U56*$AH50:$AH56))</f>
        <v>24</v>
      </c>
      <c r="E9" s="68" cm="1">
        <f t="array" ref="E9">SUM(SUM(E14:E21*$Q14:$Q21),SUM(V14:V21*$AH14:$AH21), SUM(E26:E33*$Q26:$Q33), SUM(V26:V33*$AH26:$AH33), SUM(E38:E45*$Q38:$Q45), SUM(V38:V45*$AH38:$AH45),SUM(E50:E56*$Q50:$Q56), SUM(V50:V56*$AH50:$AH56))</f>
        <v>40</v>
      </c>
      <c r="F9" s="68" cm="1">
        <f t="array" ref="F9">SUM(SUM(F14:F21*$Q14:$Q21),SUM(W14:W21*$AH14:$AH21), SUM(F26:F33*$Q26:$Q33), SUM(W26:W33*$AH26:$AH33), SUM(F38:F45*$Q38:$Q45), SUM(W38:W45*$AH38:$AH45),SUM(F50:F56*$Q50:$Q56), SUM(W50:W56*$AH50:$AH56))</f>
        <v>1000</v>
      </c>
      <c r="G9" s="68" cm="1">
        <f t="array" ref="G9">SUM(SUM(G14:G21*$Q14:$Q21),SUM(X14:X21*$AH14:$AH21), SUM(G26:G33*$Q26:$Q33), SUM(X26:X33*$AH26:$AH33), SUM(G38:G45*$Q38:$Q45), SUM(X38:X45*$AH38:$AH45),SUM(G50:G56*$Q50:$Q56), SUM(X50:X56*$AH50:$AH56))</f>
        <v>17</v>
      </c>
      <c r="H9" s="68" cm="1">
        <f t="array" ref="H9">SUM(SUM(H14:H21*$Q14:$Q21),SUM(Y14:Y21*$AH14:$AH21), SUM(H26:H33*$Q26:$Q33), SUM(Y26:Y33*$AH26:$AH33), SUM(H38:H45*$Q38:$Q45), SUM(Y38:Y45*$AH38:$AH45),SUM(H50:H56*$Q50:$Q56), SUM(Y50:Y56*$AH50:$AH56))</f>
        <v>10</v>
      </c>
      <c r="I9" s="68" cm="1">
        <f t="array" ref="I9">SUM(SUM(I14:I21*$Q14:$Q21),SUM(Z14:Z21*$AH14:$AH21), SUM(I26:I33*$Q26:$Q33), SUM(Z26:Z33*$AH26:$AH33), SUM(I38:I45*$Q38:$Q45), SUM(Z38:Z45*$AH38:$AH45),SUM(I50:I56*$Q50:$Q56), SUM(Z50:Z56*$AH50:$AH56))</f>
        <v>4</v>
      </c>
      <c r="J9" s="68" cm="1">
        <f t="array" ref="J9">SUM(SUM(J14:J21*$Q14:$Q21),SUM(AA14:AA21*$AH14:$AH21), SUM(J26:J33*$Q26:$Q33), SUM(AA26:AA33*$AH26:$AH33), SUM(J38:J45*$Q38:$Q45), SUM(AA38:AA45*$AH38:$AH45),SUM(J50:J56*$Q50:$Q56), SUM(AA50:AA56*$AH50:$AH56))</f>
        <v>31</v>
      </c>
      <c r="K9" s="74" t="s">
        <v>86</v>
      </c>
      <c r="L9" s="69">
        <v>0.15</v>
      </c>
      <c r="M9" s="69">
        <f t="shared" si="0"/>
        <v>0.16666666666666666</v>
      </c>
    </row>
    <row r="10" spans="1:34" ht="15.6" customHeight="1" x14ac:dyDescent="0.3">
      <c r="C10" s="70" t="s">
        <v>92</v>
      </c>
      <c r="D10" s="147">
        <f>D22+U22+D34+U34+D46+U46+D57+U57</f>
        <v>144</v>
      </c>
      <c r="E10" s="147">
        <f>E22+V22+E34+V34+E46+V46+E57+V57</f>
        <v>240</v>
      </c>
      <c r="F10" s="41">
        <f t="shared" ref="F10:H10" si="1">F22+W22+F34+W34+F46+W46+F57+W57</f>
        <v>6000</v>
      </c>
      <c r="G10" s="41">
        <f>G22+X22+G34+X34+G46+X46+G57+X57</f>
        <v>94</v>
      </c>
      <c r="H10" s="41">
        <f t="shared" si="1"/>
        <v>70</v>
      </c>
      <c r="I10" s="41">
        <f>I22+Z22+I34+Z34+I46+Z46+I57+Z57</f>
        <v>31</v>
      </c>
      <c r="J10" s="41">
        <f>J22+AA22+J34+AA34+J46+AA46+J57+AA57</f>
        <v>195</v>
      </c>
      <c r="K10" s="42"/>
      <c r="L10" s="31"/>
      <c r="M10" s="38"/>
      <c r="N10" s="13"/>
    </row>
    <row r="12" spans="1:34" ht="14.4" customHeight="1" x14ac:dyDescent="0.3">
      <c r="A12" s="292" t="s">
        <v>16</v>
      </c>
      <c r="B12" s="290" t="s">
        <v>17</v>
      </c>
      <c r="C12" s="290" t="s">
        <v>18</v>
      </c>
      <c r="D12" s="290" t="s">
        <v>1</v>
      </c>
      <c r="E12" s="290"/>
      <c r="F12" s="290"/>
      <c r="G12" s="290" t="s">
        <v>2</v>
      </c>
      <c r="H12" s="290"/>
      <c r="I12" s="290"/>
      <c r="J12" s="290"/>
      <c r="K12" s="288" t="s">
        <v>19</v>
      </c>
      <c r="L12" s="288" t="s">
        <v>20</v>
      </c>
      <c r="M12" s="288" t="s">
        <v>21</v>
      </c>
      <c r="N12" s="289" t="s">
        <v>111</v>
      </c>
      <c r="O12" s="288" t="s">
        <v>22</v>
      </c>
      <c r="P12" s="288" t="s">
        <v>98</v>
      </c>
      <c r="Q12" s="288" t="s">
        <v>89</v>
      </c>
      <c r="R12" s="293" t="s">
        <v>23</v>
      </c>
      <c r="S12" s="290" t="s">
        <v>17</v>
      </c>
      <c r="T12" s="290" t="s">
        <v>18</v>
      </c>
      <c r="U12" s="290" t="s">
        <v>1</v>
      </c>
      <c r="V12" s="290"/>
      <c r="W12" s="290"/>
      <c r="X12" s="290" t="s">
        <v>2</v>
      </c>
      <c r="Y12" s="290"/>
      <c r="Z12" s="290"/>
      <c r="AA12" s="290"/>
      <c r="AB12" s="288" t="s">
        <v>19</v>
      </c>
      <c r="AC12" s="288" t="s">
        <v>20</v>
      </c>
      <c r="AD12" s="288" t="s">
        <v>21</v>
      </c>
      <c r="AE12" s="289" t="s">
        <v>111</v>
      </c>
      <c r="AF12" s="288" t="s">
        <v>22</v>
      </c>
      <c r="AG12" s="288" t="s">
        <v>98</v>
      </c>
      <c r="AH12" s="288" t="s">
        <v>89</v>
      </c>
    </row>
    <row r="13" spans="1:34" x14ac:dyDescent="0.3">
      <c r="A13" s="292"/>
      <c r="B13" s="290"/>
      <c r="C13" s="290"/>
      <c r="D13" s="16" t="s">
        <v>3</v>
      </c>
      <c r="E13" s="16" t="s">
        <v>4</v>
      </c>
      <c r="F13" s="16" t="s">
        <v>5</v>
      </c>
      <c r="G13" s="16" t="s">
        <v>6</v>
      </c>
      <c r="H13" s="16" t="s">
        <v>7</v>
      </c>
      <c r="I13" s="16" t="s">
        <v>8</v>
      </c>
      <c r="J13" s="16" t="s">
        <v>9</v>
      </c>
      <c r="K13" s="288"/>
      <c r="L13" s="288"/>
      <c r="M13" s="288"/>
      <c r="N13" s="289"/>
      <c r="O13" s="288"/>
      <c r="P13" s="288"/>
      <c r="Q13" s="288"/>
      <c r="R13" s="294"/>
      <c r="S13" s="290"/>
      <c r="T13" s="290"/>
      <c r="U13" s="16" t="s">
        <v>3</v>
      </c>
      <c r="V13" s="16" t="s">
        <v>4</v>
      </c>
      <c r="W13" s="16" t="s">
        <v>5</v>
      </c>
      <c r="X13" s="16" t="s">
        <v>6</v>
      </c>
      <c r="Y13" s="16" t="s">
        <v>7</v>
      </c>
      <c r="Z13" s="16" t="s">
        <v>8</v>
      </c>
      <c r="AA13" s="16" t="s">
        <v>9</v>
      </c>
      <c r="AB13" s="288"/>
      <c r="AC13" s="288"/>
      <c r="AD13" s="288"/>
      <c r="AE13" s="289"/>
      <c r="AF13" s="288"/>
      <c r="AG13" s="288"/>
      <c r="AH13" s="288"/>
    </row>
    <row r="14" spans="1:34" ht="14.4" customHeight="1" x14ac:dyDescent="0.3">
      <c r="A14" s="292"/>
      <c r="B14" s="10" t="str">
        <f>'List of Courses'!B4</f>
        <v>EGL111</v>
      </c>
      <c r="C14" s="10" t="str">
        <f>'List of Courses'!C4</f>
        <v>English I</v>
      </c>
      <c r="D14" s="10">
        <f>'List of Courses'!D4</f>
        <v>0</v>
      </c>
      <c r="E14" s="10">
        <f>'List of Courses'!E4</f>
        <v>0</v>
      </c>
      <c r="F14" s="10">
        <f>'List of Courses'!F4</f>
        <v>0</v>
      </c>
      <c r="G14" s="10">
        <f>'List of Courses'!G4</f>
        <v>0</v>
      </c>
      <c r="H14" s="10">
        <f>'List of Courses'!H4</f>
        <v>0</v>
      </c>
      <c r="I14" s="10">
        <f>'List of Courses'!I4</f>
        <v>0</v>
      </c>
      <c r="J14" s="10">
        <f>'List of Courses'!J4</f>
        <v>0</v>
      </c>
      <c r="K14" s="10" t="str">
        <f>'List of Courses'!K4</f>
        <v>--</v>
      </c>
      <c r="L14" s="10">
        <f>'List of Courses'!L4</f>
        <v>1</v>
      </c>
      <c r="M14" s="10">
        <f>'List of Courses'!M4</f>
        <v>0</v>
      </c>
      <c r="N14" s="10">
        <f>'List of Courses'!N4</f>
        <v>0</v>
      </c>
      <c r="O14" s="10">
        <f>'List of Courses'!O4</f>
        <v>0</v>
      </c>
      <c r="P14" s="10">
        <f>'List of Courses'!P4</f>
        <v>0</v>
      </c>
      <c r="Q14" s="10">
        <f>'List of Courses'!Q4</f>
        <v>0</v>
      </c>
      <c r="R14" s="294"/>
      <c r="S14" s="10" t="str">
        <f>'List of Courses'!B5</f>
        <v>EGL112</v>
      </c>
      <c r="T14" s="10" t="str">
        <f>'List of Courses'!C5</f>
        <v>English II</v>
      </c>
      <c r="U14" s="10">
        <f>'List of Courses'!D5</f>
        <v>0</v>
      </c>
      <c r="V14" s="10">
        <f>'List of Courses'!E5</f>
        <v>0</v>
      </c>
      <c r="W14" s="10">
        <f>'List of Courses'!F5</f>
        <v>0</v>
      </c>
      <c r="X14" s="10">
        <f>'List of Courses'!G5</f>
        <v>0</v>
      </c>
      <c r="Y14" s="10">
        <f>'List of Courses'!H5</f>
        <v>0</v>
      </c>
      <c r="Z14" s="10">
        <f>'List of Courses'!I5</f>
        <v>0</v>
      </c>
      <c r="AA14" s="10">
        <f>'List of Courses'!J5</f>
        <v>0</v>
      </c>
      <c r="AB14" s="10" t="str">
        <f>'List of Courses'!K5</f>
        <v>EGL111</v>
      </c>
      <c r="AC14" s="10">
        <f>'List of Courses'!L5</f>
        <v>1</v>
      </c>
      <c r="AD14" s="10">
        <f>'List of Courses'!M5</f>
        <v>0</v>
      </c>
      <c r="AE14" s="10">
        <f>'List of Courses'!N5</f>
        <v>0</v>
      </c>
      <c r="AF14" s="10">
        <f>'List of Courses'!O5</f>
        <v>0</v>
      </c>
      <c r="AG14" s="10">
        <f>'List of Courses'!P5</f>
        <v>0</v>
      </c>
      <c r="AH14" s="10">
        <f>'List of Courses'!Q5</f>
        <v>0</v>
      </c>
    </row>
    <row r="15" spans="1:34" x14ac:dyDescent="0.3">
      <c r="A15" s="292"/>
      <c r="B15" s="10" t="str">
        <f>'List of Courses'!B8</f>
        <v>CSC111</v>
      </c>
      <c r="C15" s="10" t="str">
        <f>'List of Courses'!C8</f>
        <v>Computer and Information Skills</v>
      </c>
      <c r="D15" s="10">
        <f>'List of Courses'!D8</f>
        <v>3</v>
      </c>
      <c r="E15" s="10">
        <f>'List of Courses'!E8</f>
        <v>5</v>
      </c>
      <c r="F15" s="10">
        <f>'List of Courses'!F8</f>
        <v>125</v>
      </c>
      <c r="G15" s="10">
        <f>'List of Courses'!G8</f>
        <v>1</v>
      </c>
      <c r="H15" s="10">
        <f>'List of Courses'!H8</f>
        <v>2</v>
      </c>
      <c r="I15" s="10">
        <f>'List of Courses'!I8</f>
        <v>2</v>
      </c>
      <c r="J15" s="10">
        <f>'List of Courses'!J8</f>
        <v>5</v>
      </c>
      <c r="K15" s="10" t="str">
        <f>'List of Courses'!K8</f>
        <v>--</v>
      </c>
      <c r="L15" s="10">
        <f>'List of Courses'!L8</f>
        <v>1</v>
      </c>
      <c r="M15" s="10">
        <f>'List of Courses'!M8</f>
        <v>0</v>
      </c>
      <c r="N15" s="10">
        <f>'List of Courses'!N8</f>
        <v>0</v>
      </c>
      <c r="O15" s="10">
        <f>'List of Courses'!O8</f>
        <v>0</v>
      </c>
      <c r="P15" s="10">
        <f>'List of Courses'!P8</f>
        <v>0</v>
      </c>
      <c r="Q15" s="10">
        <f>'List of Courses'!Q8</f>
        <v>0</v>
      </c>
      <c r="R15" s="294"/>
      <c r="S15" s="10" t="str">
        <f>'List of Courses'!B9</f>
        <v>HUM E1</v>
      </c>
      <c r="T15" s="10" t="str">
        <f>'List of Courses'!C9</f>
        <v>Humanities and Social Sciences Electives</v>
      </c>
      <c r="U15" s="10">
        <f>'List of Courses'!D9</f>
        <v>3</v>
      </c>
      <c r="V15" s="10">
        <f>'List of Courses'!E9</f>
        <v>5</v>
      </c>
      <c r="W15" s="10">
        <f>'List of Courses'!F9</f>
        <v>125</v>
      </c>
      <c r="X15" s="10">
        <f>'List of Courses'!G9</f>
        <v>3</v>
      </c>
      <c r="Y15" s="10">
        <f>'List of Courses'!H9</f>
        <v>0</v>
      </c>
      <c r="Z15" s="10">
        <f>'List of Courses'!I9</f>
        <v>0</v>
      </c>
      <c r="AA15" s="10">
        <f>'List of Courses'!J9</f>
        <v>3</v>
      </c>
      <c r="AB15" s="10" t="str">
        <f>'List of Courses'!K9</f>
        <v>--</v>
      </c>
      <c r="AC15" s="10">
        <f>'List of Courses'!L9</f>
        <v>1</v>
      </c>
      <c r="AD15" s="10">
        <f>'List of Courses'!M9</f>
        <v>0</v>
      </c>
      <c r="AE15" s="10">
        <f>'List of Courses'!N9</f>
        <v>0</v>
      </c>
      <c r="AF15" s="10">
        <f>'List of Courses'!O9</f>
        <v>0</v>
      </c>
      <c r="AG15" s="10">
        <f>'List of Courses'!P9</f>
        <v>0</v>
      </c>
      <c r="AH15" s="57">
        <f>'List of Courses'!Q9</f>
        <v>1</v>
      </c>
    </row>
    <row r="16" spans="1:34" x14ac:dyDescent="0.3">
      <c r="A16" s="292"/>
      <c r="B16" s="34" t="str">
        <f>'List of Courses'!B10</f>
        <v>MTH111</v>
      </c>
      <c r="C16" s="34" t="str">
        <f>'List of Courses'!C10</f>
        <v>Analytical Geometry and Calculus I</v>
      </c>
      <c r="D16" s="34">
        <f>'List of Courses'!D10</f>
        <v>3</v>
      </c>
      <c r="E16" s="34">
        <f>'List of Courses'!E10</f>
        <v>5</v>
      </c>
      <c r="F16" s="34">
        <f>'List of Courses'!F10</f>
        <v>125</v>
      </c>
      <c r="G16" s="34">
        <f>'List of Courses'!G10</f>
        <v>2</v>
      </c>
      <c r="H16" s="34">
        <f>'List of Courses'!H10</f>
        <v>2</v>
      </c>
      <c r="I16" s="34">
        <f>'List of Courses'!I10</f>
        <v>0</v>
      </c>
      <c r="J16" s="34">
        <f>'List of Courses'!J10</f>
        <v>4</v>
      </c>
      <c r="K16" s="34" t="str">
        <f>'List of Courses'!K10</f>
        <v>--</v>
      </c>
      <c r="L16" s="34">
        <f>'List of Courses'!L10</f>
        <v>0</v>
      </c>
      <c r="M16" s="34">
        <f>'List of Courses'!M10</f>
        <v>1</v>
      </c>
      <c r="N16" s="4">
        <f>'List of Courses'!N10</f>
        <v>1</v>
      </c>
      <c r="O16" s="34">
        <f>'List of Courses'!O10</f>
        <v>0</v>
      </c>
      <c r="P16" s="34">
        <f>'List of Courses'!P10</f>
        <v>0</v>
      </c>
      <c r="Q16" s="34">
        <f>'List of Courses'!Q10</f>
        <v>0</v>
      </c>
      <c r="R16" s="294"/>
      <c r="S16" s="53" t="str">
        <f>'List of Courses'!B11</f>
        <v>MTH112</v>
      </c>
      <c r="T16" s="53" t="str">
        <f>'List of Courses'!C11</f>
        <v>Calculus II</v>
      </c>
      <c r="U16" s="53">
        <f>'List of Courses'!D11</f>
        <v>3</v>
      </c>
      <c r="V16" s="53">
        <f>'List of Courses'!E11</f>
        <v>5</v>
      </c>
      <c r="W16" s="53">
        <f>'List of Courses'!F11</f>
        <v>125</v>
      </c>
      <c r="X16" s="53">
        <f>'List of Courses'!G11</f>
        <v>2</v>
      </c>
      <c r="Y16" s="53">
        <f>'List of Courses'!H11</f>
        <v>2</v>
      </c>
      <c r="Z16" s="53">
        <f>'List of Courses'!I11</f>
        <v>0</v>
      </c>
      <c r="AA16" s="53">
        <f>'List of Courses'!J11</f>
        <v>4</v>
      </c>
      <c r="AB16" s="53" t="str">
        <f>'List of Courses'!K11</f>
        <v>MTH111 (CO)</v>
      </c>
      <c r="AC16" s="53">
        <f>'List of Courses'!L11</f>
        <v>0</v>
      </c>
      <c r="AD16" s="53">
        <f>'List of Courses'!M11</f>
        <v>0</v>
      </c>
      <c r="AE16" s="4">
        <f>'List of Courses'!N11</f>
        <v>1</v>
      </c>
      <c r="AF16" s="53">
        <f>'List of Courses'!O11</f>
        <v>1</v>
      </c>
      <c r="AG16" s="53">
        <f>'List of Courses'!P11</f>
        <v>0</v>
      </c>
      <c r="AH16" s="53">
        <f>'List of Courses'!Q11</f>
        <v>0</v>
      </c>
    </row>
    <row r="17" spans="1:34" x14ac:dyDescent="0.3">
      <c r="A17" s="292"/>
      <c r="B17" s="34" t="str">
        <f>'List of Courses'!B20</f>
        <v>PHY111</v>
      </c>
      <c r="C17" s="34" t="str">
        <f>'List of Courses'!C20</f>
        <v>Physics I</v>
      </c>
      <c r="D17" s="34">
        <f>'List of Courses'!D20</f>
        <v>3</v>
      </c>
      <c r="E17" s="34">
        <f>'List of Courses'!E20</f>
        <v>5</v>
      </c>
      <c r="F17" s="34">
        <f>'List of Courses'!F20</f>
        <v>125</v>
      </c>
      <c r="G17" s="34">
        <f>'List of Courses'!G20</f>
        <v>2</v>
      </c>
      <c r="H17" s="34">
        <f>'List of Courses'!H20</f>
        <v>2</v>
      </c>
      <c r="I17" s="34">
        <f>'List of Courses'!I20</f>
        <v>1</v>
      </c>
      <c r="J17" s="34">
        <f>'List of Courses'!J20</f>
        <v>5</v>
      </c>
      <c r="K17" s="34" t="str">
        <f>'List of Courses'!K20</f>
        <v>--</v>
      </c>
      <c r="L17" s="34">
        <f>'List of Courses'!L20</f>
        <v>0</v>
      </c>
      <c r="M17" s="34">
        <f>'List of Courses'!M20</f>
        <v>1</v>
      </c>
      <c r="N17" s="4">
        <f>'List of Courses'!N20</f>
        <v>1</v>
      </c>
      <c r="O17" s="34">
        <f>'List of Courses'!O20</f>
        <v>0</v>
      </c>
      <c r="P17" s="34">
        <f>'List of Courses'!P20</f>
        <v>0</v>
      </c>
      <c r="Q17" s="34">
        <f>'List of Courses'!Q20</f>
        <v>0</v>
      </c>
      <c r="R17" s="294"/>
      <c r="S17" s="34" t="str">
        <f>'List of Courses'!B12</f>
        <v>MTH113</v>
      </c>
      <c r="T17" s="34" t="str">
        <f>'List of Courses'!C12</f>
        <v>Probability and Statistics</v>
      </c>
      <c r="U17" s="34">
        <f>'List of Courses'!D12</f>
        <v>3</v>
      </c>
      <c r="V17" s="34">
        <f>'List of Courses'!E12</f>
        <v>5</v>
      </c>
      <c r="W17" s="34">
        <f>'List of Courses'!F12</f>
        <v>125</v>
      </c>
      <c r="X17" s="34">
        <f>'List of Courses'!G12</f>
        <v>2</v>
      </c>
      <c r="Y17" s="34">
        <f>'List of Courses'!H12</f>
        <v>2</v>
      </c>
      <c r="Z17" s="34">
        <f>'List of Courses'!I12</f>
        <v>0</v>
      </c>
      <c r="AA17" s="34">
        <f>'List of Courses'!J12</f>
        <v>4</v>
      </c>
      <c r="AB17" s="34" t="str">
        <f>'List of Courses'!K12</f>
        <v>--</v>
      </c>
      <c r="AC17" s="34">
        <f>'List of Courses'!L12</f>
        <v>0</v>
      </c>
      <c r="AD17" s="34">
        <f>'List of Courses'!M12</f>
        <v>1</v>
      </c>
      <c r="AE17" s="4">
        <f>'List of Courses'!N12</f>
        <v>1</v>
      </c>
      <c r="AF17" s="34">
        <f>'List of Courses'!O12</f>
        <v>0</v>
      </c>
      <c r="AG17" s="34">
        <f>'List of Courses'!P12</f>
        <v>0</v>
      </c>
      <c r="AH17" s="34">
        <f>'List of Courses'!Q12</f>
        <v>0</v>
      </c>
    </row>
    <row r="18" spans="1:34" x14ac:dyDescent="0.3">
      <c r="A18" s="292"/>
      <c r="B18" s="34" t="str">
        <f>'List of Courses'!B23</f>
        <v>MEC111</v>
      </c>
      <c r="C18" s="34" t="str">
        <f>'List of Courses'!C23</f>
        <v>Engineering Mechanics I - Statics</v>
      </c>
      <c r="D18" s="34">
        <f>'List of Courses'!D23</f>
        <v>3</v>
      </c>
      <c r="E18" s="34">
        <f>'List of Courses'!E23</f>
        <v>5</v>
      </c>
      <c r="F18" s="34">
        <f>'List of Courses'!F23</f>
        <v>125</v>
      </c>
      <c r="G18" s="34">
        <f>'List of Courses'!G23</f>
        <v>2</v>
      </c>
      <c r="H18" s="34">
        <f>'List of Courses'!H23</f>
        <v>2</v>
      </c>
      <c r="I18" s="34">
        <f>'List of Courses'!I23</f>
        <v>0</v>
      </c>
      <c r="J18" s="34">
        <f>'List of Courses'!J23</f>
        <v>4</v>
      </c>
      <c r="K18" s="34" t="str">
        <f>'List of Courses'!K23</f>
        <v>--</v>
      </c>
      <c r="L18" s="34">
        <f>'List of Courses'!L23</f>
        <v>0</v>
      </c>
      <c r="M18" s="34">
        <f>'List of Courses'!M23</f>
        <v>1</v>
      </c>
      <c r="N18" s="4">
        <f>'List of Courses'!N23</f>
        <v>1</v>
      </c>
      <c r="O18" s="34">
        <f>'List of Courses'!O23</f>
        <v>0</v>
      </c>
      <c r="P18" s="34">
        <f>'List of Courses'!P23</f>
        <v>0</v>
      </c>
      <c r="Q18" s="34">
        <f>'List of Courses'!Q23</f>
        <v>0</v>
      </c>
      <c r="R18" s="294"/>
      <c r="S18" s="53" t="str">
        <f>'List of Courses'!B22</f>
        <v>CHM111</v>
      </c>
      <c r="T18" s="53" t="str">
        <f>'List of Courses'!C22</f>
        <v>Chemistry Principles</v>
      </c>
      <c r="U18" s="53">
        <f>'List of Courses'!D22</f>
        <v>3</v>
      </c>
      <c r="V18" s="53">
        <f>'List of Courses'!E22</f>
        <v>5</v>
      </c>
      <c r="W18" s="53">
        <f>'List of Courses'!F22</f>
        <v>125</v>
      </c>
      <c r="X18" s="53">
        <f>'List of Courses'!G22</f>
        <v>2</v>
      </c>
      <c r="Y18" s="53">
        <f>'List of Courses'!H22</f>
        <v>1</v>
      </c>
      <c r="Z18" s="53">
        <f>'List of Courses'!I22</f>
        <v>1</v>
      </c>
      <c r="AA18" s="53">
        <f>'List of Courses'!J22</f>
        <v>4</v>
      </c>
      <c r="AB18" s="53" t="str">
        <f>'List of Courses'!K22</f>
        <v>--</v>
      </c>
      <c r="AC18" s="53">
        <f>'List of Courses'!L22</f>
        <v>0</v>
      </c>
      <c r="AD18" s="53">
        <f>'List of Courses'!M22</f>
        <v>0</v>
      </c>
      <c r="AE18" s="4">
        <f>'List of Courses'!N22</f>
        <v>1</v>
      </c>
      <c r="AF18" s="53">
        <f>'List of Courses'!O22</f>
        <v>1</v>
      </c>
      <c r="AG18" s="53">
        <f>'List of Courses'!P22</f>
        <v>0</v>
      </c>
      <c r="AH18" s="53">
        <f>'List of Courses'!Q22</f>
        <v>0</v>
      </c>
    </row>
    <row r="19" spans="1:34" x14ac:dyDescent="0.3">
      <c r="A19" s="292"/>
      <c r="B19" s="34" t="str">
        <f>'List of Courses'!B25</f>
        <v>INT121</v>
      </c>
      <c r="C19" s="34" t="str">
        <f>'List of Courses'!C25</f>
        <v>Engineering Drawing</v>
      </c>
      <c r="D19" s="34">
        <f>'List of Courses'!D25</f>
        <v>3</v>
      </c>
      <c r="E19" s="34">
        <f>'List of Courses'!E25</f>
        <v>5</v>
      </c>
      <c r="F19" s="34">
        <f>'List of Courses'!F25</f>
        <v>125</v>
      </c>
      <c r="G19" s="34">
        <f>'List of Courses'!G25</f>
        <v>2</v>
      </c>
      <c r="H19" s="34">
        <f>'List of Courses'!H25</f>
        <v>0</v>
      </c>
      <c r="I19" s="34">
        <f>'List of Courses'!I25</f>
        <v>2</v>
      </c>
      <c r="J19" s="34">
        <f>'List of Courses'!J25</f>
        <v>4</v>
      </c>
      <c r="K19" s="34" t="str">
        <f>'List of Courses'!K25</f>
        <v>--</v>
      </c>
      <c r="L19" s="34">
        <f>'List of Courses'!L25</f>
        <v>0</v>
      </c>
      <c r="M19" s="34">
        <f>'List of Courses'!M25</f>
        <v>1</v>
      </c>
      <c r="N19" s="34">
        <f>'List of Courses'!N25</f>
        <v>0</v>
      </c>
      <c r="O19" s="34">
        <f>'List of Courses'!O25</f>
        <v>0</v>
      </c>
      <c r="P19" s="34">
        <f>'List of Courses'!P25</f>
        <v>0</v>
      </c>
      <c r="Q19" s="34">
        <f>'List of Courses'!Q25</f>
        <v>0</v>
      </c>
      <c r="R19" s="294"/>
      <c r="S19" s="34" t="str">
        <f>'List of Courses'!B29</f>
        <v>ECE151</v>
      </c>
      <c r="T19" s="34" t="str">
        <f>'List of Courses'!C29</f>
        <v xml:space="preserve">Introduction to Programming </v>
      </c>
      <c r="U19" s="34">
        <f>'List of Courses'!D29</f>
        <v>3</v>
      </c>
      <c r="V19" s="34">
        <f>'List of Courses'!E29</f>
        <v>5</v>
      </c>
      <c r="W19" s="34">
        <f>'List of Courses'!F29</f>
        <v>125</v>
      </c>
      <c r="X19" s="34">
        <f>'List of Courses'!G29</f>
        <v>2</v>
      </c>
      <c r="Y19" s="34">
        <f>'List of Courses'!H29</f>
        <v>0</v>
      </c>
      <c r="Z19" s="34">
        <f>'List of Courses'!I29</f>
        <v>2</v>
      </c>
      <c r="AA19" s="34">
        <f>'List of Courses'!J29</f>
        <v>4</v>
      </c>
      <c r="AB19" s="34" t="str">
        <f>'List of Courses'!K29</f>
        <v>--</v>
      </c>
      <c r="AC19" s="34">
        <f>'List of Courses'!L29</f>
        <v>0</v>
      </c>
      <c r="AD19" s="34">
        <f>'List of Courses'!M29</f>
        <v>1</v>
      </c>
      <c r="AE19" s="34">
        <f>'List of Courses'!N29</f>
        <v>0</v>
      </c>
      <c r="AF19" s="34">
        <f>'List of Courses'!O29</f>
        <v>0</v>
      </c>
      <c r="AG19" s="34">
        <f>'List of Courses'!P29</f>
        <v>0</v>
      </c>
      <c r="AH19" s="34">
        <f>'List of Courses'!Q29</f>
        <v>0</v>
      </c>
    </row>
    <row r="20" spans="1:34" x14ac:dyDescent="0.3">
      <c r="A20" s="292"/>
      <c r="B20" s="34" t="str">
        <f>'List of Courses'!B26</f>
        <v>INT E1</v>
      </c>
      <c r="C20" s="34" t="str">
        <f>'List of Courses'!C26</f>
        <v>Engineering History Electives</v>
      </c>
      <c r="D20" s="34">
        <f>'List of Courses'!D26</f>
        <v>3</v>
      </c>
      <c r="E20" s="34">
        <f>'List of Courses'!E26</f>
        <v>5</v>
      </c>
      <c r="F20" s="34">
        <f>'List of Courses'!F26</f>
        <v>125</v>
      </c>
      <c r="G20" s="34">
        <f>'List of Courses'!G26</f>
        <v>2</v>
      </c>
      <c r="H20" s="34">
        <f>'List of Courses'!H26</f>
        <v>2</v>
      </c>
      <c r="I20" s="34">
        <f>'List of Courses'!I26</f>
        <v>0</v>
      </c>
      <c r="J20" s="34">
        <f>'List of Courses'!J26</f>
        <v>4</v>
      </c>
      <c r="K20" s="34" t="str">
        <f>'List of Courses'!K26</f>
        <v>--</v>
      </c>
      <c r="L20" s="34">
        <f>'List of Courses'!L26</f>
        <v>0</v>
      </c>
      <c r="M20" s="34">
        <f>'List of Courses'!M26</f>
        <v>1</v>
      </c>
      <c r="N20" s="34">
        <f>'List of Courses'!N26</f>
        <v>0</v>
      </c>
      <c r="O20" s="34">
        <f>'List of Courses'!O26</f>
        <v>0</v>
      </c>
      <c r="P20" s="34">
        <f>'List of Courses'!P26</f>
        <v>0</v>
      </c>
      <c r="Q20" s="57">
        <f>'List of Courses'!Q26</f>
        <v>1</v>
      </c>
      <c r="R20" s="294"/>
      <c r="S20" s="53" t="str">
        <f>'List of Courses'!B30</f>
        <v>CVL211</v>
      </c>
      <c r="T20" s="53" t="str">
        <f>'List of Courses'!C30</f>
        <v>Structural Analysis-1</v>
      </c>
      <c r="U20" s="53">
        <f>'List of Courses'!D30</f>
        <v>3</v>
      </c>
      <c r="V20" s="53">
        <f>'List of Courses'!E30</f>
        <v>5</v>
      </c>
      <c r="W20" s="53">
        <f>'List of Courses'!F30</f>
        <v>125</v>
      </c>
      <c r="X20" s="53">
        <f>'List of Courses'!G30</f>
        <v>2</v>
      </c>
      <c r="Y20" s="53">
        <f>'List of Courses'!H30</f>
        <v>2</v>
      </c>
      <c r="Z20" s="53">
        <f>'List of Courses'!I30</f>
        <v>0</v>
      </c>
      <c r="AA20" s="53">
        <f>'List of Courses'!J30</f>
        <v>4</v>
      </c>
      <c r="AB20" s="53" t="str">
        <f>'List of Courses'!K30</f>
        <v>MEC111</v>
      </c>
      <c r="AC20" s="53">
        <f>'List of Courses'!L30</f>
        <v>0</v>
      </c>
      <c r="AD20" s="53">
        <f>'List of Courses'!M30</f>
        <v>0</v>
      </c>
      <c r="AE20" s="53">
        <f>'List of Courses'!N30</f>
        <v>0</v>
      </c>
      <c r="AF20" s="53">
        <f>'List of Courses'!O30</f>
        <v>1</v>
      </c>
      <c r="AG20" s="53">
        <f>'List of Courses'!P30</f>
        <v>0</v>
      </c>
      <c r="AH20" s="53">
        <f>'List of Courses'!Q30</f>
        <v>0</v>
      </c>
    </row>
    <row r="21" spans="1:34" x14ac:dyDescent="0.3">
      <c r="A21" s="292"/>
      <c r="B21" s="34"/>
      <c r="C21" s="34"/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295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</row>
    <row r="22" spans="1:34" x14ac:dyDescent="0.3">
      <c r="D22" s="41">
        <f t="shared" ref="D22:I22" si="2">SUM(D14:D21)</f>
        <v>18</v>
      </c>
      <c r="E22" s="41">
        <f>SUM(E14:E21)</f>
        <v>30</v>
      </c>
      <c r="F22" s="41">
        <f t="shared" si="2"/>
        <v>750</v>
      </c>
      <c r="G22" s="41">
        <f t="shared" si="2"/>
        <v>11</v>
      </c>
      <c r="H22" s="41">
        <f t="shared" si="2"/>
        <v>10</v>
      </c>
      <c r="I22" s="41">
        <f t="shared" si="2"/>
        <v>5</v>
      </c>
      <c r="J22" s="41">
        <f>SUM(J14:J21)</f>
        <v>26</v>
      </c>
      <c r="U22" s="41">
        <f t="shared" ref="U22:AA22" si="3">SUM(U14:U21)</f>
        <v>18</v>
      </c>
      <c r="V22" s="41">
        <f t="shared" si="3"/>
        <v>30</v>
      </c>
      <c r="W22" s="41">
        <f t="shared" si="3"/>
        <v>750</v>
      </c>
      <c r="X22" s="41">
        <f t="shared" si="3"/>
        <v>13</v>
      </c>
      <c r="Y22" s="41">
        <f t="shared" si="3"/>
        <v>7</v>
      </c>
      <c r="Z22" s="41">
        <f t="shared" si="3"/>
        <v>3</v>
      </c>
      <c r="AA22" s="41">
        <f t="shared" si="3"/>
        <v>23</v>
      </c>
    </row>
    <row r="23" spans="1:34" ht="14.4" customHeight="1" x14ac:dyDescent="0.3">
      <c r="L23" s="1"/>
      <c r="M23" s="1"/>
      <c r="N23" s="1"/>
      <c r="O23" s="1"/>
      <c r="P23" s="1"/>
      <c r="Q23" s="1"/>
    </row>
    <row r="24" spans="1:34" ht="14.4" customHeight="1" x14ac:dyDescent="0.3">
      <c r="A24" s="292" t="s">
        <v>33</v>
      </c>
      <c r="B24" s="290" t="s">
        <v>17</v>
      </c>
      <c r="C24" s="290" t="s">
        <v>18</v>
      </c>
      <c r="D24" s="290" t="s">
        <v>1</v>
      </c>
      <c r="E24" s="290"/>
      <c r="F24" s="290"/>
      <c r="G24" s="290" t="s">
        <v>2</v>
      </c>
      <c r="H24" s="290"/>
      <c r="I24" s="290"/>
      <c r="J24" s="290"/>
      <c r="K24" s="288" t="s">
        <v>19</v>
      </c>
      <c r="L24" s="288" t="s">
        <v>20</v>
      </c>
      <c r="M24" s="288" t="s">
        <v>21</v>
      </c>
      <c r="N24" s="289" t="s">
        <v>111</v>
      </c>
      <c r="O24" s="288" t="s">
        <v>22</v>
      </c>
      <c r="P24" s="288" t="s">
        <v>98</v>
      </c>
      <c r="Q24" s="288" t="s">
        <v>89</v>
      </c>
      <c r="R24" s="293" t="s">
        <v>34</v>
      </c>
      <c r="S24" s="290" t="s">
        <v>17</v>
      </c>
      <c r="T24" s="290" t="s">
        <v>18</v>
      </c>
      <c r="U24" s="290" t="s">
        <v>1</v>
      </c>
      <c r="V24" s="290"/>
      <c r="W24" s="290"/>
      <c r="X24" s="290" t="s">
        <v>2</v>
      </c>
      <c r="Y24" s="290"/>
      <c r="Z24" s="290"/>
      <c r="AA24" s="290"/>
      <c r="AB24" s="288" t="s">
        <v>19</v>
      </c>
      <c r="AC24" s="288" t="s">
        <v>20</v>
      </c>
      <c r="AD24" s="288" t="s">
        <v>21</v>
      </c>
      <c r="AE24" s="289" t="s">
        <v>111</v>
      </c>
      <c r="AF24" s="288" t="s">
        <v>22</v>
      </c>
      <c r="AG24" s="288" t="s">
        <v>98</v>
      </c>
      <c r="AH24" s="288" t="s">
        <v>89</v>
      </c>
    </row>
    <row r="25" spans="1:34" x14ac:dyDescent="0.3">
      <c r="A25" s="292"/>
      <c r="B25" s="290"/>
      <c r="C25" s="290"/>
      <c r="D25" s="16" t="s">
        <v>3</v>
      </c>
      <c r="E25" s="16" t="s">
        <v>4</v>
      </c>
      <c r="F25" s="16" t="s">
        <v>5</v>
      </c>
      <c r="G25" s="16" t="s">
        <v>6</v>
      </c>
      <c r="H25" s="16" t="s">
        <v>7</v>
      </c>
      <c r="I25" s="16" t="s">
        <v>8</v>
      </c>
      <c r="J25" s="16" t="s">
        <v>9</v>
      </c>
      <c r="K25" s="288"/>
      <c r="L25" s="288"/>
      <c r="M25" s="288"/>
      <c r="N25" s="289"/>
      <c r="O25" s="288"/>
      <c r="P25" s="288"/>
      <c r="Q25" s="288"/>
      <c r="R25" s="294"/>
      <c r="S25" s="290"/>
      <c r="T25" s="290"/>
      <c r="U25" s="16" t="s">
        <v>3</v>
      </c>
      <c r="V25" s="16" t="s">
        <v>4</v>
      </c>
      <c r="W25" s="16" t="s">
        <v>5</v>
      </c>
      <c r="X25" s="16" t="s">
        <v>6</v>
      </c>
      <c r="Y25" s="16" t="s">
        <v>7</v>
      </c>
      <c r="Z25" s="16" t="s">
        <v>8</v>
      </c>
      <c r="AA25" s="16" t="s">
        <v>9</v>
      </c>
      <c r="AB25" s="288"/>
      <c r="AC25" s="288"/>
      <c r="AD25" s="288"/>
      <c r="AE25" s="289"/>
      <c r="AF25" s="288"/>
      <c r="AG25" s="288"/>
      <c r="AH25" s="288"/>
    </row>
    <row r="26" spans="1:34" ht="14.4" customHeight="1" x14ac:dyDescent="0.3">
      <c r="A26" s="292"/>
      <c r="B26" s="10" t="str">
        <f>'List of Courses'!B6</f>
        <v>EGL213</v>
      </c>
      <c r="C26" s="10" t="str">
        <f>'List of Courses'!C6</f>
        <v>Writing Skills</v>
      </c>
      <c r="D26" s="10">
        <f>'List of Courses'!D6</f>
        <v>3</v>
      </c>
      <c r="E26" s="10">
        <f>'List of Courses'!E6</f>
        <v>5</v>
      </c>
      <c r="F26" s="10">
        <f>'List of Courses'!F6</f>
        <v>125</v>
      </c>
      <c r="G26" s="10">
        <f>'List of Courses'!G6</f>
        <v>3</v>
      </c>
      <c r="H26" s="10">
        <f>'List of Courses'!H6</f>
        <v>0</v>
      </c>
      <c r="I26" s="10">
        <f>'List of Courses'!I6</f>
        <v>0</v>
      </c>
      <c r="J26" s="10">
        <f>'List of Courses'!J6</f>
        <v>3</v>
      </c>
      <c r="K26" s="10" t="str">
        <f>'List of Courses'!K6</f>
        <v>EGL112</v>
      </c>
      <c r="L26" s="10">
        <f>'List of Courses'!L6</f>
        <v>1</v>
      </c>
      <c r="M26" s="10">
        <f>'List of Courses'!M6</f>
        <v>0</v>
      </c>
      <c r="N26" s="10">
        <f>'List of Courses'!N6</f>
        <v>0</v>
      </c>
      <c r="O26" s="10">
        <f>'List of Courses'!O6</f>
        <v>0</v>
      </c>
      <c r="P26" s="10">
        <f>'List of Courses'!P6</f>
        <v>0</v>
      </c>
      <c r="Q26" s="10">
        <f>'List of Courses'!Q6</f>
        <v>0</v>
      </c>
      <c r="R26" s="294"/>
      <c r="S26" s="10" t="str">
        <f>'List of Courses'!B7</f>
        <v>EGL214</v>
      </c>
      <c r="T26" s="10" t="str">
        <f>'List of Courses'!C7</f>
        <v>Communication and Presentation Skills</v>
      </c>
      <c r="U26" s="10">
        <f>'List of Courses'!D7</f>
        <v>3</v>
      </c>
      <c r="V26" s="10">
        <f>'List of Courses'!E7</f>
        <v>5</v>
      </c>
      <c r="W26" s="10">
        <f>'List of Courses'!F7</f>
        <v>125</v>
      </c>
      <c r="X26" s="10">
        <f>'List of Courses'!G7</f>
        <v>3</v>
      </c>
      <c r="Y26" s="10">
        <f>'List of Courses'!H7</f>
        <v>0</v>
      </c>
      <c r="Z26" s="10">
        <f>'List of Courses'!I7</f>
        <v>0</v>
      </c>
      <c r="AA26" s="10">
        <f>'List of Courses'!J7</f>
        <v>3</v>
      </c>
      <c r="AB26" s="10" t="str">
        <f>'List of Courses'!K7</f>
        <v>EGL112</v>
      </c>
      <c r="AC26" s="10">
        <f>'List of Courses'!L7</f>
        <v>1</v>
      </c>
      <c r="AD26" s="10">
        <f>'List of Courses'!M7</f>
        <v>0</v>
      </c>
      <c r="AE26" s="10">
        <f>'List of Courses'!N7</f>
        <v>0</v>
      </c>
      <c r="AF26" s="10">
        <f>'List of Courses'!O7</f>
        <v>0</v>
      </c>
      <c r="AG26" s="10">
        <f>'List of Courses'!P7</f>
        <v>0</v>
      </c>
      <c r="AH26" s="10">
        <f>'List of Courses'!Q7</f>
        <v>0</v>
      </c>
    </row>
    <row r="27" spans="1:34" x14ac:dyDescent="0.3">
      <c r="A27" s="292"/>
      <c r="B27" s="34" t="str">
        <f>'List of Courses'!B13</f>
        <v>MTH214</v>
      </c>
      <c r="C27" s="34" t="str">
        <f>'List of Courses'!C13</f>
        <v xml:space="preserve">Linear Algebra &amp; Introduction to Machine Learning </v>
      </c>
      <c r="D27" s="34">
        <f>'List of Courses'!D13</f>
        <v>3</v>
      </c>
      <c r="E27" s="34">
        <f>'List of Courses'!E13</f>
        <v>5</v>
      </c>
      <c r="F27" s="34">
        <f>'List of Courses'!F13</f>
        <v>125</v>
      </c>
      <c r="G27" s="34">
        <f>'List of Courses'!G13</f>
        <v>2</v>
      </c>
      <c r="H27" s="34">
        <f>'List of Courses'!H13</f>
        <v>2</v>
      </c>
      <c r="I27" s="34">
        <f>'List of Courses'!I13</f>
        <v>0</v>
      </c>
      <c r="J27" s="34">
        <f>'List of Courses'!J13</f>
        <v>4</v>
      </c>
      <c r="K27" s="34" t="str">
        <f>'List of Courses'!K13</f>
        <v>--</v>
      </c>
      <c r="L27" s="34">
        <f>'List of Courses'!L13</f>
        <v>0</v>
      </c>
      <c r="M27" s="34">
        <f>'List of Courses'!M13</f>
        <v>1</v>
      </c>
      <c r="N27" s="4">
        <f>'List of Courses'!N13</f>
        <v>1</v>
      </c>
      <c r="O27" s="34">
        <f>'List of Courses'!O13</f>
        <v>0</v>
      </c>
      <c r="P27" s="34">
        <f>'List of Courses'!P13</f>
        <v>0</v>
      </c>
      <c r="Q27" s="34">
        <f>'List of Courses'!Q13</f>
        <v>0</v>
      </c>
      <c r="R27" s="294"/>
      <c r="S27" s="53" t="str">
        <f>'List of Courses'!B14</f>
        <v>MTH215</v>
      </c>
      <c r="T27" s="53" t="str">
        <f>'List of Courses'!C14</f>
        <v>Differential Equations</v>
      </c>
      <c r="U27" s="53">
        <f>'List of Courses'!D14</f>
        <v>3</v>
      </c>
      <c r="V27" s="53">
        <f>'List of Courses'!E14</f>
        <v>5</v>
      </c>
      <c r="W27" s="53">
        <f>'List of Courses'!F14</f>
        <v>125</v>
      </c>
      <c r="X27" s="53">
        <f>'List of Courses'!G14</f>
        <v>2</v>
      </c>
      <c r="Y27" s="53">
        <f>'List of Courses'!H14</f>
        <v>2</v>
      </c>
      <c r="Z27" s="53">
        <f>'List of Courses'!I14</f>
        <v>0</v>
      </c>
      <c r="AA27" s="53">
        <f>'List of Courses'!J14</f>
        <v>4</v>
      </c>
      <c r="AB27" s="53" t="str">
        <f>'List of Courses'!K14</f>
        <v>MTH112</v>
      </c>
      <c r="AC27" s="53">
        <f>'List of Courses'!L14</f>
        <v>0</v>
      </c>
      <c r="AD27" s="53">
        <f>'List of Courses'!M14</f>
        <v>0</v>
      </c>
      <c r="AE27" s="4">
        <f>'List of Courses'!N14</f>
        <v>1</v>
      </c>
      <c r="AF27" s="53">
        <f>'List of Courses'!O14</f>
        <v>1</v>
      </c>
      <c r="AG27" s="53">
        <f>'List of Courses'!P14</f>
        <v>0</v>
      </c>
      <c r="AH27" s="53">
        <f>'List of Courses'!Q14</f>
        <v>0</v>
      </c>
    </row>
    <row r="28" spans="1:34" x14ac:dyDescent="0.3">
      <c r="A28" s="292"/>
      <c r="B28" s="53" t="str">
        <f>'List of Courses'!B34</f>
        <v>CVL281</v>
      </c>
      <c r="C28" s="53" t="str">
        <f>'List of Courses'!C34</f>
        <v xml:space="preserve">Introduction to Surveying </v>
      </c>
      <c r="D28" s="53">
        <f>'List of Courses'!D34</f>
        <v>3</v>
      </c>
      <c r="E28" s="53">
        <f>'List of Courses'!E34</f>
        <v>5</v>
      </c>
      <c r="F28" s="53">
        <f>'List of Courses'!F34</f>
        <v>125</v>
      </c>
      <c r="G28" s="53">
        <f>'List of Courses'!G34</f>
        <v>1</v>
      </c>
      <c r="H28" s="53">
        <f>'List of Courses'!H34</f>
        <v>2</v>
      </c>
      <c r="I28" s="53">
        <f>'List of Courses'!I34</f>
        <v>2</v>
      </c>
      <c r="J28" s="53">
        <f>'List of Courses'!J34</f>
        <v>5</v>
      </c>
      <c r="K28" s="53" t="str">
        <f>'List of Courses'!K34</f>
        <v>--</v>
      </c>
      <c r="L28" s="53">
        <f>'List of Courses'!L34</f>
        <v>0</v>
      </c>
      <c r="M28" s="53">
        <f>'List of Courses'!M34</f>
        <v>0</v>
      </c>
      <c r="N28" s="53">
        <f>'List of Courses'!N34</f>
        <v>0</v>
      </c>
      <c r="O28" s="53">
        <f>'List of Courses'!O34</f>
        <v>1</v>
      </c>
      <c r="P28" s="53">
        <f>'List of Courses'!P34</f>
        <v>0</v>
      </c>
      <c r="Q28" s="53">
        <f>'List of Courses'!Q34</f>
        <v>0</v>
      </c>
      <c r="R28" s="294"/>
      <c r="S28" s="53" t="str">
        <f>'List of Courses'!B33</f>
        <v>CVL231</v>
      </c>
      <c r="T28" s="53" t="str">
        <f>'List of Courses'!C33</f>
        <v>Construction Project Management</v>
      </c>
      <c r="U28" s="53">
        <f>'List of Courses'!D33</f>
        <v>3</v>
      </c>
      <c r="V28" s="53">
        <f>'List of Courses'!E33</f>
        <v>5</v>
      </c>
      <c r="W28" s="53">
        <f>'List of Courses'!F33</f>
        <v>125</v>
      </c>
      <c r="X28" s="53">
        <f>'List of Courses'!G33</f>
        <v>2</v>
      </c>
      <c r="Y28" s="53">
        <f>'List of Courses'!H33</f>
        <v>2</v>
      </c>
      <c r="Z28" s="53">
        <f>'List of Courses'!I33</f>
        <v>0</v>
      </c>
      <c r="AA28" s="53">
        <f>'List of Courses'!J33</f>
        <v>4</v>
      </c>
      <c r="AB28" s="53" t="str">
        <f>'List of Courses'!K33</f>
        <v>--</v>
      </c>
      <c r="AC28" s="53">
        <f>'List of Courses'!L33</f>
        <v>0</v>
      </c>
      <c r="AD28" s="53">
        <f>'List of Courses'!M33</f>
        <v>0</v>
      </c>
      <c r="AE28" s="53">
        <f>'List of Courses'!N33</f>
        <v>0</v>
      </c>
      <c r="AF28" s="53">
        <f>'List of Courses'!O33</f>
        <v>1</v>
      </c>
      <c r="AG28" s="53">
        <f>'List of Courses'!P33</f>
        <v>0</v>
      </c>
      <c r="AH28" s="53">
        <f>'List of Courses'!Q33</f>
        <v>0</v>
      </c>
    </row>
    <row r="29" spans="1:34" ht="15" customHeight="1" x14ac:dyDescent="0.3">
      <c r="A29" s="292"/>
      <c r="B29" s="53" t="str">
        <f>'List of Courses'!B35</f>
        <v>CVL282</v>
      </c>
      <c r="C29" s="53" t="str">
        <f>'List of Courses'!C35</f>
        <v xml:space="preserve">Civil Engineering Drafting </v>
      </c>
      <c r="D29" s="53">
        <f>'List of Courses'!D35</f>
        <v>3</v>
      </c>
      <c r="E29" s="53">
        <f>'List of Courses'!E35</f>
        <v>5</v>
      </c>
      <c r="F29" s="53">
        <f>'List of Courses'!F35</f>
        <v>125</v>
      </c>
      <c r="G29" s="53">
        <f>'List of Courses'!G35</f>
        <v>1</v>
      </c>
      <c r="H29" s="53">
        <f>'List of Courses'!H35</f>
        <v>2</v>
      </c>
      <c r="I29" s="53">
        <f>'List of Courses'!I35</f>
        <v>2</v>
      </c>
      <c r="J29" s="53">
        <f>'List of Courses'!J35</f>
        <v>5</v>
      </c>
      <c r="K29" s="53" t="str">
        <f>'List of Courses'!K35</f>
        <v>INT121</v>
      </c>
      <c r="L29" s="53">
        <f>'List of Courses'!L35</f>
        <v>0</v>
      </c>
      <c r="M29" s="53">
        <f>'List of Courses'!M35</f>
        <v>0</v>
      </c>
      <c r="N29" s="53">
        <f>'List of Courses'!N35</f>
        <v>0</v>
      </c>
      <c r="O29" s="53">
        <f>'List of Courses'!O35</f>
        <v>1</v>
      </c>
      <c r="P29" s="53">
        <f>'List of Courses'!P35</f>
        <v>0</v>
      </c>
      <c r="Q29" s="53">
        <f>'List of Courses'!Q35</f>
        <v>0</v>
      </c>
      <c r="R29" s="294"/>
      <c r="S29" s="53" t="str">
        <f>'List of Courses'!B36</f>
        <v>CVL311</v>
      </c>
      <c r="T29" s="53" t="str">
        <f>'List of Courses'!C36</f>
        <v>Reinforced Concrete Design-1</v>
      </c>
      <c r="U29" s="53">
        <f>'List of Courses'!D36</f>
        <v>3</v>
      </c>
      <c r="V29" s="53">
        <f>'List of Courses'!E36</f>
        <v>5</v>
      </c>
      <c r="W29" s="53">
        <f>'List of Courses'!F36</f>
        <v>125</v>
      </c>
      <c r="X29" s="53">
        <f>'List of Courses'!G36</f>
        <v>2</v>
      </c>
      <c r="Y29" s="53">
        <f>'List of Courses'!H36</f>
        <v>2</v>
      </c>
      <c r="Z29" s="53">
        <f>'List of Courses'!I36</f>
        <v>0</v>
      </c>
      <c r="AA29" s="53">
        <f>'List of Courses'!J36</f>
        <v>4</v>
      </c>
      <c r="AB29" s="53" t="str">
        <f>'List of Courses'!K36</f>
        <v>CVL211</v>
      </c>
      <c r="AC29" s="53">
        <f>'List of Courses'!L36</f>
        <v>0</v>
      </c>
      <c r="AD29" s="53">
        <f>'List of Courses'!M36</f>
        <v>0</v>
      </c>
      <c r="AE29" s="53">
        <f>'List of Courses'!N36</f>
        <v>0</v>
      </c>
      <c r="AF29" s="53">
        <f>'List of Courses'!O36</f>
        <v>1</v>
      </c>
      <c r="AG29" s="53">
        <f>'List of Courses'!P36</f>
        <v>0</v>
      </c>
      <c r="AH29" s="53">
        <f>'List of Courses'!Q36</f>
        <v>0</v>
      </c>
    </row>
    <row r="30" spans="1:34" x14ac:dyDescent="0.3">
      <c r="A30" s="292"/>
      <c r="B30" s="53" t="str">
        <f>'List of Courses'!B31</f>
        <v>CVL212</v>
      </c>
      <c r="C30" s="53" t="str">
        <f>'List of Courses'!C31</f>
        <v>Structural Analysis-2</v>
      </c>
      <c r="D30" s="53">
        <f>'List of Courses'!D31</f>
        <v>3</v>
      </c>
      <c r="E30" s="53">
        <f>'List of Courses'!E31</f>
        <v>5</v>
      </c>
      <c r="F30" s="53">
        <f>'List of Courses'!F31</f>
        <v>125</v>
      </c>
      <c r="G30" s="53">
        <f>'List of Courses'!G31</f>
        <v>2</v>
      </c>
      <c r="H30" s="53">
        <f>'List of Courses'!H31</f>
        <v>2</v>
      </c>
      <c r="I30" s="53">
        <f>'List of Courses'!I31</f>
        <v>0</v>
      </c>
      <c r="J30" s="53">
        <f>'List of Courses'!J31</f>
        <v>4</v>
      </c>
      <c r="K30" s="53" t="str">
        <f>'List of Courses'!K31</f>
        <v>CVL211</v>
      </c>
      <c r="L30" s="53">
        <f>'List of Courses'!L31</f>
        <v>0</v>
      </c>
      <c r="M30" s="53">
        <f>'List of Courses'!M31</f>
        <v>0</v>
      </c>
      <c r="N30" s="53">
        <f>'List of Courses'!N31</f>
        <v>0</v>
      </c>
      <c r="O30" s="53">
        <f>'List of Courses'!O31</f>
        <v>1</v>
      </c>
      <c r="P30" s="53">
        <f>'List of Courses'!P31</f>
        <v>0</v>
      </c>
      <c r="Q30" s="53">
        <f>'List of Courses'!Q31</f>
        <v>0</v>
      </c>
      <c r="R30" s="294"/>
      <c r="S30" s="53" t="str">
        <f>'List of Courses'!B41</f>
        <v>CVL321</v>
      </c>
      <c r="T30" s="53" t="str">
        <f>'List of Courses'!C41</f>
        <v>Engineering Materials-2</v>
      </c>
      <c r="U30" s="53">
        <f>'List of Courses'!D41</f>
        <v>3</v>
      </c>
      <c r="V30" s="53">
        <f>'List of Courses'!E41</f>
        <v>5</v>
      </c>
      <c r="W30" s="53">
        <f>'List of Courses'!F41</f>
        <v>125</v>
      </c>
      <c r="X30" s="53">
        <f>'List of Courses'!G41</f>
        <v>2</v>
      </c>
      <c r="Y30" s="53">
        <f>'List of Courses'!H41</f>
        <v>1</v>
      </c>
      <c r="Z30" s="53">
        <f>'List of Courses'!I41</f>
        <v>1</v>
      </c>
      <c r="AA30" s="53">
        <f>'List of Courses'!J41</f>
        <v>4</v>
      </c>
      <c r="AB30" s="53" t="str">
        <f>'List of Courses'!K41</f>
        <v>CVL221</v>
      </c>
      <c r="AC30" s="53">
        <f>'List of Courses'!L41</f>
        <v>0</v>
      </c>
      <c r="AD30" s="53">
        <f>'List of Courses'!M41</f>
        <v>0</v>
      </c>
      <c r="AE30" s="53">
        <f>'List of Courses'!N41</f>
        <v>0</v>
      </c>
      <c r="AF30" s="53">
        <f>'List of Courses'!O41</f>
        <v>1</v>
      </c>
      <c r="AG30" s="53">
        <f>'List of Courses'!P41</f>
        <v>0</v>
      </c>
      <c r="AH30" s="53">
        <f>'List of Courses'!Q41</f>
        <v>0</v>
      </c>
    </row>
    <row r="31" spans="1:34" x14ac:dyDescent="0.3">
      <c r="A31" s="292"/>
      <c r="B31" s="53" t="str">
        <f>'List of Courses'!B32</f>
        <v>CVL221</v>
      </c>
      <c r="C31" s="53" t="str">
        <f>'List of Courses'!C32</f>
        <v>Engineering Materials-1</v>
      </c>
      <c r="D31" s="53">
        <f>'List of Courses'!D32</f>
        <v>3</v>
      </c>
      <c r="E31" s="53">
        <f>'List of Courses'!E32</f>
        <v>5</v>
      </c>
      <c r="F31" s="53">
        <f>'List of Courses'!F32</f>
        <v>125</v>
      </c>
      <c r="G31" s="53">
        <f>'List of Courses'!G32</f>
        <v>2</v>
      </c>
      <c r="H31" s="53">
        <f>'List of Courses'!H32</f>
        <v>1</v>
      </c>
      <c r="I31" s="53">
        <f>'List of Courses'!I32</f>
        <v>1</v>
      </c>
      <c r="J31" s="53">
        <f>'List of Courses'!J32</f>
        <v>4</v>
      </c>
      <c r="K31" s="53" t="str">
        <f>'List of Courses'!K32</f>
        <v>--</v>
      </c>
      <c r="L31" s="53">
        <f>'List of Courses'!L32</f>
        <v>0</v>
      </c>
      <c r="M31" s="53">
        <f>'List of Courses'!M32</f>
        <v>0</v>
      </c>
      <c r="N31" s="53">
        <f>'List of Courses'!N32</f>
        <v>0</v>
      </c>
      <c r="O31" s="53">
        <f>'List of Courses'!O32</f>
        <v>1</v>
      </c>
      <c r="P31" s="53">
        <f>'List of Courses'!P32</f>
        <v>0</v>
      </c>
      <c r="Q31" s="53">
        <f>'List of Courses'!Q32</f>
        <v>0</v>
      </c>
      <c r="R31" s="294"/>
      <c r="S31" s="53" t="str">
        <f>'List of Courses'!B42</f>
        <v>CVL331</v>
      </c>
      <c r="T31" s="53" t="str">
        <f>'List of Courses'!C42</f>
        <v>Construction Engineering &amp; Methods</v>
      </c>
      <c r="U31" s="53">
        <f>'List of Courses'!D42</f>
        <v>3</v>
      </c>
      <c r="V31" s="53">
        <f>'List of Courses'!E42</f>
        <v>5</v>
      </c>
      <c r="W31" s="53">
        <f>'List of Courses'!F42</f>
        <v>125</v>
      </c>
      <c r="X31" s="53">
        <f>'List of Courses'!G42</f>
        <v>2</v>
      </c>
      <c r="Y31" s="53">
        <f>'List of Courses'!H42</f>
        <v>2</v>
      </c>
      <c r="Z31" s="53">
        <f>'List of Courses'!I42</f>
        <v>0</v>
      </c>
      <c r="AA31" s="53">
        <f>'List of Courses'!J42</f>
        <v>4</v>
      </c>
      <c r="AB31" s="53" t="str">
        <f>'List of Courses'!K42</f>
        <v>--</v>
      </c>
      <c r="AC31" s="53">
        <f>'List of Courses'!L42</f>
        <v>0</v>
      </c>
      <c r="AD31" s="53">
        <f>'List of Courses'!M42</f>
        <v>0</v>
      </c>
      <c r="AE31" s="53">
        <f>'List of Courses'!N42</f>
        <v>0</v>
      </c>
      <c r="AF31" s="53">
        <f>'List of Courses'!O42</f>
        <v>1</v>
      </c>
      <c r="AG31" s="53">
        <f>'List of Courses'!P42</f>
        <v>0</v>
      </c>
      <c r="AH31" s="53">
        <f>'List of Courses'!Q42</f>
        <v>0</v>
      </c>
    </row>
    <row r="32" spans="1:34" x14ac:dyDescent="0.3">
      <c r="A32" s="292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294"/>
      <c r="S32" s="53" t="str">
        <f>'List of Courses'!B49</f>
        <v>CVL391</v>
      </c>
      <c r="T32" s="53" t="str">
        <f>'List of Courses'!C49</f>
        <v>Practical Training-1</v>
      </c>
      <c r="U32" s="53">
        <f>'List of Courses'!D49</f>
        <v>0</v>
      </c>
      <c r="V32" s="53">
        <f>'List of Courses'!E49</f>
        <v>0</v>
      </c>
      <c r="W32" s="53">
        <f>'List of Courses'!F49</f>
        <v>0</v>
      </c>
      <c r="X32" s="53">
        <f>'List of Courses'!G49</f>
        <v>0</v>
      </c>
      <c r="Y32" s="53">
        <f>'List of Courses'!H49</f>
        <v>0</v>
      </c>
      <c r="Z32" s="53">
        <f>'List of Courses'!I49</f>
        <v>0</v>
      </c>
      <c r="AA32" s="53">
        <f>'List of Courses'!J49</f>
        <v>0</v>
      </c>
      <c r="AB32" s="53" t="str">
        <f>'List of Courses'!K49</f>
        <v>--</v>
      </c>
      <c r="AC32" s="53">
        <f>'List of Courses'!L49</f>
        <v>0</v>
      </c>
      <c r="AD32" s="53">
        <f>'List of Courses'!M49</f>
        <v>0</v>
      </c>
      <c r="AE32" s="53">
        <f>'List of Courses'!N49</f>
        <v>0</v>
      </c>
      <c r="AF32" s="53">
        <f>'List of Courses'!O49</f>
        <v>1</v>
      </c>
      <c r="AG32" s="53">
        <f>'List of Courses'!P49</f>
        <v>0</v>
      </c>
      <c r="AH32" s="53">
        <f>'List of Courses'!Q49</f>
        <v>0</v>
      </c>
    </row>
    <row r="33" spans="1:34" x14ac:dyDescent="0.3">
      <c r="A33" s="292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295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</row>
    <row r="34" spans="1:34" x14ac:dyDescent="0.3">
      <c r="D34" s="41">
        <f>SUM(D26:D33)</f>
        <v>18</v>
      </c>
      <c r="E34" s="41">
        <f>SUM(E26:E33)</f>
        <v>30</v>
      </c>
      <c r="F34" s="41">
        <f t="shared" ref="F34:I34" si="4">SUM(F26:F33)</f>
        <v>750</v>
      </c>
      <c r="G34" s="92">
        <f t="shared" si="4"/>
        <v>11</v>
      </c>
      <c r="H34" s="92">
        <f t="shared" si="4"/>
        <v>9</v>
      </c>
      <c r="I34" s="92">
        <f t="shared" si="4"/>
        <v>5</v>
      </c>
      <c r="J34" s="41">
        <f>SUM(J26:J33)</f>
        <v>25</v>
      </c>
      <c r="L34" s="6"/>
      <c r="M34" s="6"/>
      <c r="N34" s="6"/>
      <c r="O34" s="6"/>
      <c r="P34" s="6"/>
      <c r="Q34" s="6"/>
      <c r="U34" s="41">
        <f t="shared" ref="U34:Z34" si="5">SUM(U26:U33)</f>
        <v>18</v>
      </c>
      <c r="V34" s="41">
        <f t="shared" si="5"/>
        <v>30</v>
      </c>
      <c r="W34" s="41">
        <f t="shared" si="5"/>
        <v>750</v>
      </c>
      <c r="X34" s="41">
        <f t="shared" si="5"/>
        <v>13</v>
      </c>
      <c r="Y34" s="41">
        <f t="shared" si="5"/>
        <v>9</v>
      </c>
      <c r="Z34" s="41">
        <f t="shared" si="5"/>
        <v>1</v>
      </c>
      <c r="AA34" s="41">
        <f>SUM(AA26:AA33)</f>
        <v>23</v>
      </c>
      <c r="AC34" s="1"/>
      <c r="AD34" s="1"/>
      <c r="AE34" s="1"/>
      <c r="AF34" s="1"/>
      <c r="AG34" s="1"/>
    </row>
    <row r="35" spans="1:34" x14ac:dyDescent="0.3">
      <c r="L35" s="1"/>
      <c r="M35" s="1"/>
      <c r="N35" s="1"/>
      <c r="O35" s="1"/>
      <c r="P35" s="1"/>
      <c r="Q35" s="1"/>
    </row>
    <row r="36" spans="1:34" ht="14.4" customHeight="1" x14ac:dyDescent="0.3">
      <c r="A36" s="292" t="s">
        <v>47</v>
      </c>
      <c r="B36" s="290" t="s">
        <v>17</v>
      </c>
      <c r="C36" s="290" t="s">
        <v>18</v>
      </c>
      <c r="D36" s="290" t="s">
        <v>1</v>
      </c>
      <c r="E36" s="290"/>
      <c r="F36" s="290"/>
      <c r="G36" s="290" t="s">
        <v>2</v>
      </c>
      <c r="H36" s="290"/>
      <c r="I36" s="290"/>
      <c r="J36" s="290"/>
      <c r="K36" s="288" t="s">
        <v>19</v>
      </c>
      <c r="L36" s="288" t="s">
        <v>20</v>
      </c>
      <c r="M36" s="288" t="s">
        <v>21</v>
      </c>
      <c r="N36" s="289" t="s">
        <v>111</v>
      </c>
      <c r="O36" s="288" t="s">
        <v>22</v>
      </c>
      <c r="P36" s="288" t="s">
        <v>98</v>
      </c>
      <c r="Q36" s="288" t="s">
        <v>89</v>
      </c>
      <c r="R36" s="293" t="s">
        <v>48</v>
      </c>
      <c r="S36" s="290" t="s">
        <v>17</v>
      </c>
      <c r="T36" s="290" t="s">
        <v>18</v>
      </c>
      <c r="U36" s="290" t="s">
        <v>1</v>
      </c>
      <c r="V36" s="290"/>
      <c r="W36" s="290"/>
      <c r="X36" s="290" t="s">
        <v>2</v>
      </c>
      <c r="Y36" s="290"/>
      <c r="Z36" s="290"/>
      <c r="AA36" s="290"/>
      <c r="AB36" s="288" t="s">
        <v>19</v>
      </c>
      <c r="AC36" s="288" t="s">
        <v>20</v>
      </c>
      <c r="AD36" s="288" t="s">
        <v>21</v>
      </c>
      <c r="AE36" s="289" t="s">
        <v>111</v>
      </c>
      <c r="AF36" s="288" t="s">
        <v>22</v>
      </c>
      <c r="AG36" s="288" t="s">
        <v>98</v>
      </c>
      <c r="AH36" s="288" t="s">
        <v>89</v>
      </c>
    </row>
    <row r="37" spans="1:34" x14ac:dyDescent="0.3">
      <c r="A37" s="292"/>
      <c r="B37" s="290"/>
      <c r="C37" s="290"/>
      <c r="D37" s="16" t="s">
        <v>3</v>
      </c>
      <c r="E37" s="16" t="s">
        <v>4</v>
      </c>
      <c r="F37" s="16" t="s">
        <v>5</v>
      </c>
      <c r="G37" s="16" t="s">
        <v>6</v>
      </c>
      <c r="H37" s="16" t="s">
        <v>7</v>
      </c>
      <c r="I37" s="16" t="s">
        <v>8</v>
      </c>
      <c r="J37" s="16" t="s">
        <v>9</v>
      </c>
      <c r="K37" s="288"/>
      <c r="L37" s="288"/>
      <c r="M37" s="288"/>
      <c r="N37" s="289"/>
      <c r="O37" s="288"/>
      <c r="P37" s="288"/>
      <c r="Q37" s="288"/>
      <c r="R37" s="294"/>
      <c r="S37" s="290"/>
      <c r="T37" s="290"/>
      <c r="U37" s="16" t="s">
        <v>3</v>
      </c>
      <c r="V37" s="16" t="s">
        <v>4</v>
      </c>
      <c r="W37" s="16" t="s">
        <v>5</v>
      </c>
      <c r="X37" s="16" t="s">
        <v>6</v>
      </c>
      <c r="Y37" s="16" t="s">
        <v>7</v>
      </c>
      <c r="Z37" s="16" t="s">
        <v>8</v>
      </c>
      <c r="AA37" s="16" t="s">
        <v>9</v>
      </c>
      <c r="AB37" s="288"/>
      <c r="AC37" s="288"/>
      <c r="AD37" s="288"/>
      <c r="AE37" s="289"/>
      <c r="AF37" s="288"/>
      <c r="AG37" s="288"/>
      <c r="AH37" s="288"/>
    </row>
    <row r="38" spans="1:34" ht="14.4" customHeight="1" x14ac:dyDescent="0.3">
      <c r="A38" s="292"/>
      <c r="B38" s="53" t="str">
        <f>'List of Courses'!B37</f>
        <v>CVL312</v>
      </c>
      <c r="C38" s="53" t="str">
        <f>'List of Courses'!C37</f>
        <v>Soil Mechanics</v>
      </c>
      <c r="D38" s="53">
        <f>'List of Courses'!D37</f>
        <v>3</v>
      </c>
      <c r="E38" s="53">
        <f>'List of Courses'!E37</f>
        <v>5</v>
      </c>
      <c r="F38" s="53">
        <f>'List of Courses'!F37</f>
        <v>125</v>
      </c>
      <c r="G38" s="53">
        <f>'List of Courses'!G37</f>
        <v>2</v>
      </c>
      <c r="H38" s="53">
        <f>'List of Courses'!H37</f>
        <v>1</v>
      </c>
      <c r="I38" s="53">
        <f>'List of Courses'!I37</f>
        <v>1</v>
      </c>
      <c r="J38" s="53">
        <f>'List of Courses'!J37</f>
        <v>4</v>
      </c>
      <c r="K38" s="53" t="str">
        <f>'List of Courses'!K37</f>
        <v>CVL221</v>
      </c>
      <c r="L38" s="53">
        <f>'List of Courses'!L37</f>
        <v>0</v>
      </c>
      <c r="M38" s="53">
        <f>'List of Courses'!M37</f>
        <v>0</v>
      </c>
      <c r="N38" s="53">
        <f>'List of Courses'!N37</f>
        <v>0</v>
      </c>
      <c r="O38" s="53">
        <f>'List of Courses'!O37</f>
        <v>1</v>
      </c>
      <c r="P38" s="53">
        <f>'List of Courses'!P37</f>
        <v>0</v>
      </c>
      <c r="Q38" s="53">
        <f>'List of Courses'!Q37</f>
        <v>0</v>
      </c>
      <c r="R38" s="294"/>
      <c r="S38" s="53" t="str">
        <f>'List of Courses'!B40</f>
        <v>CVL315</v>
      </c>
      <c r="T38" s="53" t="str">
        <f>'List of Courses'!C40</f>
        <v>Structural Steel Design</v>
      </c>
      <c r="U38" s="53">
        <f>'List of Courses'!D40</f>
        <v>3</v>
      </c>
      <c r="V38" s="53">
        <f>'List of Courses'!E40</f>
        <v>5</v>
      </c>
      <c r="W38" s="53">
        <f>'List of Courses'!F40</f>
        <v>125</v>
      </c>
      <c r="X38" s="53">
        <f>'List of Courses'!G40</f>
        <v>2</v>
      </c>
      <c r="Y38" s="53">
        <f>'List of Courses'!H40</f>
        <v>2</v>
      </c>
      <c r="Z38" s="53">
        <f>'List of Courses'!I40</f>
        <v>0</v>
      </c>
      <c r="AA38" s="53">
        <f>'List of Courses'!J40</f>
        <v>4</v>
      </c>
      <c r="AB38" s="53" t="str">
        <f>'List of Courses'!K40</f>
        <v>CVL212</v>
      </c>
      <c r="AC38" s="53">
        <f>'List of Courses'!L40</f>
        <v>0</v>
      </c>
      <c r="AD38" s="53">
        <f>'List of Courses'!M40</f>
        <v>0</v>
      </c>
      <c r="AE38" s="53">
        <f>'List of Courses'!N40</f>
        <v>0</v>
      </c>
      <c r="AF38" s="53">
        <f>'List of Courses'!O40</f>
        <v>1</v>
      </c>
      <c r="AG38" s="53">
        <f>'List of Courses'!P40</f>
        <v>0</v>
      </c>
      <c r="AH38" s="53">
        <f>'List of Courses'!Q40</f>
        <v>0</v>
      </c>
    </row>
    <row r="39" spans="1:34" x14ac:dyDescent="0.3">
      <c r="A39" s="292"/>
      <c r="B39" s="53" t="str">
        <f>'List of Courses'!B39</f>
        <v>CVL314</v>
      </c>
      <c r="C39" s="53" t="str">
        <f>'List of Courses'!C39</f>
        <v>Reinforced Concrete Design-2</v>
      </c>
      <c r="D39" s="53">
        <f>'List of Courses'!D39</f>
        <v>3</v>
      </c>
      <c r="E39" s="53">
        <f>'List of Courses'!E39</f>
        <v>5</v>
      </c>
      <c r="F39" s="53">
        <f>'List of Courses'!F39</f>
        <v>125</v>
      </c>
      <c r="G39" s="53">
        <f>'List of Courses'!G39</f>
        <v>2</v>
      </c>
      <c r="H39" s="53">
        <f>'List of Courses'!H39</f>
        <v>2</v>
      </c>
      <c r="I39" s="53">
        <f>'List of Courses'!I39</f>
        <v>0</v>
      </c>
      <c r="J39" s="53">
        <f>'List of Courses'!J39</f>
        <v>4</v>
      </c>
      <c r="K39" s="53" t="str">
        <f>'List of Courses'!K39</f>
        <v>CVL311</v>
      </c>
      <c r="L39" s="53">
        <f>'List of Courses'!L39</f>
        <v>0</v>
      </c>
      <c r="M39" s="53">
        <f>'List of Courses'!M39</f>
        <v>0</v>
      </c>
      <c r="N39" s="53">
        <f>'List of Courses'!N39</f>
        <v>0</v>
      </c>
      <c r="O39" s="53">
        <f>'List of Courses'!O39</f>
        <v>1</v>
      </c>
      <c r="P39" s="53">
        <f>'List of Courses'!P39</f>
        <v>0</v>
      </c>
      <c r="Q39" s="53">
        <f>'List of Courses'!Q39</f>
        <v>0</v>
      </c>
      <c r="R39" s="294"/>
      <c r="S39" s="56" t="str">
        <f>'List of Courses'!B45</f>
        <v>CVL334</v>
      </c>
      <c r="T39" s="56" t="str">
        <f>'List of Courses'!C45</f>
        <v>Construction Planning &amp; Scheduling</v>
      </c>
      <c r="U39" s="56">
        <f>'List of Courses'!D45</f>
        <v>3</v>
      </c>
      <c r="V39" s="56">
        <f>'List of Courses'!E45</f>
        <v>5</v>
      </c>
      <c r="W39" s="56">
        <f>'List of Courses'!F45</f>
        <v>125</v>
      </c>
      <c r="X39" s="56">
        <f>'List of Courses'!G45</f>
        <v>2</v>
      </c>
      <c r="Y39" s="56">
        <f>'List of Courses'!H45</f>
        <v>1</v>
      </c>
      <c r="Z39" s="56">
        <f>'List of Courses'!I45</f>
        <v>1</v>
      </c>
      <c r="AA39" s="56">
        <f>'List of Courses'!J45</f>
        <v>4</v>
      </c>
      <c r="AB39" s="56" t="str">
        <f>'List of Courses'!K45</f>
        <v>--</v>
      </c>
      <c r="AC39" s="56">
        <f>'List of Courses'!L45</f>
        <v>0</v>
      </c>
      <c r="AD39" s="56">
        <f>'List of Courses'!M45</f>
        <v>0</v>
      </c>
      <c r="AE39" s="56">
        <f>'List of Courses'!N45</f>
        <v>0</v>
      </c>
      <c r="AF39" s="56">
        <f>'List of Courses'!O45</f>
        <v>0</v>
      </c>
      <c r="AG39" s="56">
        <f>'List of Courses'!P45</f>
        <v>1</v>
      </c>
      <c r="AH39" s="56">
        <f>'List of Courses'!Q45</f>
        <v>0</v>
      </c>
    </row>
    <row r="40" spans="1:34" x14ac:dyDescent="0.3">
      <c r="A40" s="292"/>
      <c r="B40" s="56" t="str">
        <f>'List of Courses'!B43</f>
        <v>CVL332</v>
      </c>
      <c r="C40" s="56" t="str">
        <f>'List of Courses'!C43</f>
        <v>Quantity Surveying, Estimation and Specifications</v>
      </c>
      <c r="D40" s="56">
        <f>'List of Courses'!D43</f>
        <v>3</v>
      </c>
      <c r="E40" s="56">
        <f>'List of Courses'!E43</f>
        <v>5</v>
      </c>
      <c r="F40" s="56">
        <f>'List of Courses'!F43</f>
        <v>125</v>
      </c>
      <c r="G40" s="56">
        <f>'List of Courses'!G43</f>
        <v>2</v>
      </c>
      <c r="H40" s="56">
        <f>'List of Courses'!H43</f>
        <v>2</v>
      </c>
      <c r="I40" s="56">
        <f>'List of Courses'!I43</f>
        <v>0</v>
      </c>
      <c r="J40" s="56">
        <f>'List of Courses'!J43</f>
        <v>4</v>
      </c>
      <c r="K40" s="56" t="str">
        <f>'List of Courses'!K43</f>
        <v>CVL231</v>
      </c>
      <c r="L40" s="56">
        <f>'List of Courses'!L43</f>
        <v>0</v>
      </c>
      <c r="M40" s="56">
        <f>'List of Courses'!M43</f>
        <v>0</v>
      </c>
      <c r="N40" s="56">
        <f>'List of Courses'!N43</f>
        <v>0</v>
      </c>
      <c r="O40" s="56">
        <f>'List of Courses'!O43</f>
        <v>0</v>
      </c>
      <c r="P40" s="56">
        <f>'List of Courses'!P43</f>
        <v>1</v>
      </c>
      <c r="Q40" s="56">
        <f>'List of Courses'!Q43</f>
        <v>0</v>
      </c>
      <c r="R40" s="294"/>
      <c r="S40" s="53" t="str">
        <f>'List of Courses'!B50</f>
        <v>CVL392</v>
      </c>
      <c r="T40" s="53" t="str">
        <f>'List of Courses'!C50</f>
        <v>Practical Training-2</v>
      </c>
      <c r="U40" s="53">
        <f>'List of Courses'!D50</f>
        <v>0</v>
      </c>
      <c r="V40" s="53">
        <f>'List of Courses'!E50</f>
        <v>0</v>
      </c>
      <c r="W40" s="53">
        <f>'List of Courses'!F50</f>
        <v>0</v>
      </c>
      <c r="X40" s="53">
        <f>'List of Courses'!G50</f>
        <v>0</v>
      </c>
      <c r="Y40" s="53">
        <f>'List of Courses'!H50</f>
        <v>0</v>
      </c>
      <c r="Z40" s="53">
        <f>'List of Courses'!I50</f>
        <v>0</v>
      </c>
      <c r="AA40" s="53">
        <f>'List of Courses'!J50</f>
        <v>0</v>
      </c>
      <c r="AB40" s="53" t="str">
        <f>'List of Courses'!K50</f>
        <v>CVL391 (CO)</v>
      </c>
      <c r="AC40" s="53">
        <f>'List of Courses'!L50</f>
        <v>0</v>
      </c>
      <c r="AD40" s="53">
        <f>'List of Courses'!M50</f>
        <v>0</v>
      </c>
      <c r="AE40" s="53">
        <f>'List of Courses'!N50</f>
        <v>0</v>
      </c>
      <c r="AF40" s="53">
        <f>'List of Courses'!O50</f>
        <v>1</v>
      </c>
      <c r="AG40" s="53">
        <f>'List of Courses'!P50</f>
        <v>0</v>
      </c>
      <c r="AH40" s="53">
        <f>'List of Courses'!Q50</f>
        <v>0</v>
      </c>
    </row>
    <row r="41" spans="1:34" x14ac:dyDescent="0.3">
      <c r="A41" s="292"/>
      <c r="B41" s="56" t="str">
        <f>'List of Courses'!B44</f>
        <v>CVL333</v>
      </c>
      <c r="C41" s="56" t="str">
        <f>'List of Courses'!C44</f>
        <v>Civil Engineering Economics</v>
      </c>
      <c r="D41" s="56">
        <f>'List of Courses'!D44</f>
        <v>3</v>
      </c>
      <c r="E41" s="56">
        <f>'List of Courses'!E44</f>
        <v>5</v>
      </c>
      <c r="F41" s="56">
        <f>'List of Courses'!F44</f>
        <v>125</v>
      </c>
      <c r="G41" s="56">
        <f>'List of Courses'!G44</f>
        <v>2</v>
      </c>
      <c r="H41" s="56">
        <f>'List of Courses'!H44</f>
        <v>2</v>
      </c>
      <c r="I41" s="56">
        <f>'List of Courses'!I44</f>
        <v>0</v>
      </c>
      <c r="J41" s="56">
        <f>'List of Courses'!J44</f>
        <v>4</v>
      </c>
      <c r="K41" s="56" t="str">
        <f>'List of Courses'!K44</f>
        <v>--</v>
      </c>
      <c r="L41" s="56">
        <f>'List of Courses'!L44</f>
        <v>0</v>
      </c>
      <c r="M41" s="56">
        <f>'List of Courses'!M44</f>
        <v>0</v>
      </c>
      <c r="N41" s="56">
        <f>'List of Courses'!N44</f>
        <v>0</v>
      </c>
      <c r="O41" s="56">
        <f>'List of Courses'!O44</f>
        <v>0</v>
      </c>
      <c r="P41" s="56">
        <f>'List of Courses'!P44</f>
        <v>1</v>
      </c>
      <c r="Q41" s="56">
        <f>'List of Courses'!Q44</f>
        <v>0</v>
      </c>
      <c r="R41" s="294"/>
      <c r="S41" s="53" t="str">
        <f>'List of Courses'!B51</f>
        <v>CVL411</v>
      </c>
      <c r="T41" s="53" t="str">
        <f>'List of Courses'!C51</f>
        <v>Design &amp; Construction of Foundations</v>
      </c>
      <c r="U41" s="53">
        <f>'List of Courses'!D51</f>
        <v>3</v>
      </c>
      <c r="V41" s="53">
        <f>'List of Courses'!E51</f>
        <v>5</v>
      </c>
      <c r="W41" s="53">
        <f>'List of Courses'!F51</f>
        <v>125</v>
      </c>
      <c r="X41" s="53">
        <f>'List of Courses'!G51</f>
        <v>2</v>
      </c>
      <c r="Y41" s="53">
        <f>'List of Courses'!H51</f>
        <v>2</v>
      </c>
      <c r="Z41" s="53">
        <f>'List of Courses'!I51</f>
        <v>0</v>
      </c>
      <c r="AA41" s="53">
        <f>'List of Courses'!J51</f>
        <v>4</v>
      </c>
      <c r="AB41" s="53" t="str">
        <f>'List of Courses'!K51</f>
        <v>CVL312</v>
      </c>
      <c r="AC41" s="53">
        <f>'List of Courses'!L51</f>
        <v>0</v>
      </c>
      <c r="AD41" s="53">
        <f>'List of Courses'!M51</f>
        <v>0</v>
      </c>
      <c r="AE41" s="53">
        <f>'List of Courses'!N51</f>
        <v>0</v>
      </c>
      <c r="AF41" s="53">
        <f>'List of Courses'!O51</f>
        <v>1</v>
      </c>
      <c r="AG41" s="53">
        <f>'List of Courses'!P51</f>
        <v>0</v>
      </c>
      <c r="AH41" s="53">
        <f>'List of Courses'!Q51</f>
        <v>0</v>
      </c>
    </row>
    <row r="42" spans="1:34" x14ac:dyDescent="0.3">
      <c r="A42" s="292"/>
      <c r="B42" s="53" t="str">
        <f>'List of Courses'!B46</f>
        <v>CVL341</v>
      </c>
      <c r="C42" s="53" t="str">
        <f>'List of Courses'!C46</f>
        <v>Fluid Mechanics</v>
      </c>
      <c r="D42" s="53">
        <f>'List of Courses'!D46</f>
        <v>3</v>
      </c>
      <c r="E42" s="53">
        <f>'List of Courses'!E46</f>
        <v>5</v>
      </c>
      <c r="F42" s="53">
        <f>'List of Courses'!F46</f>
        <v>125</v>
      </c>
      <c r="G42" s="53">
        <f>'List of Courses'!G46</f>
        <v>2</v>
      </c>
      <c r="H42" s="53">
        <f>'List of Courses'!H46</f>
        <v>1</v>
      </c>
      <c r="I42" s="53">
        <f>'List of Courses'!I46</f>
        <v>1</v>
      </c>
      <c r="J42" s="53">
        <f>'List of Courses'!J46</f>
        <v>4</v>
      </c>
      <c r="K42" s="53" t="str">
        <f>'List of Courses'!K46</f>
        <v>MTH215</v>
      </c>
      <c r="L42" s="53">
        <f>'List of Courses'!L46</f>
        <v>0</v>
      </c>
      <c r="M42" s="53">
        <f>'List of Courses'!M46</f>
        <v>0</v>
      </c>
      <c r="N42" s="53">
        <f>'List of Courses'!N46</f>
        <v>0</v>
      </c>
      <c r="O42" s="53">
        <f>'List of Courses'!O46</f>
        <v>1</v>
      </c>
      <c r="P42" s="53">
        <f>'List of Courses'!P46</f>
        <v>0</v>
      </c>
      <c r="Q42" s="53">
        <f>'List of Courses'!Q46</f>
        <v>0</v>
      </c>
      <c r="R42" s="294"/>
      <c r="S42" s="56" t="str">
        <f>'List of Courses'!B57</f>
        <v>CVL432</v>
      </c>
      <c r="T42" s="56" t="str">
        <f>'List of Courses'!C57</f>
        <v xml:space="preserve">Contracts &amp; Commercial Management </v>
      </c>
      <c r="U42" s="56">
        <f>'List of Courses'!D57</f>
        <v>3</v>
      </c>
      <c r="V42" s="56">
        <f>'List of Courses'!E57</f>
        <v>5</v>
      </c>
      <c r="W42" s="56">
        <f>'List of Courses'!F57</f>
        <v>125</v>
      </c>
      <c r="X42" s="56">
        <f>'List of Courses'!G57</f>
        <v>2</v>
      </c>
      <c r="Y42" s="56">
        <f>'List of Courses'!H57</f>
        <v>2</v>
      </c>
      <c r="Z42" s="56">
        <f>'List of Courses'!I57</f>
        <v>0</v>
      </c>
      <c r="AA42" s="56">
        <f>'List of Courses'!J57</f>
        <v>4</v>
      </c>
      <c r="AB42" s="56" t="str">
        <f>'List of Courses'!K57</f>
        <v>--</v>
      </c>
      <c r="AC42" s="56">
        <f>'List of Courses'!L57</f>
        <v>0</v>
      </c>
      <c r="AD42" s="56">
        <f>'List of Courses'!M57</f>
        <v>0</v>
      </c>
      <c r="AE42" s="56">
        <f>'List of Courses'!N57</f>
        <v>0</v>
      </c>
      <c r="AF42" s="56">
        <f>'List of Courses'!O57</f>
        <v>0</v>
      </c>
      <c r="AG42" s="56">
        <f>'List of Courses'!P57</f>
        <v>1</v>
      </c>
      <c r="AH42" s="56">
        <f>'List of Courses'!Q57</f>
        <v>0</v>
      </c>
    </row>
    <row r="43" spans="1:34" x14ac:dyDescent="0.3">
      <c r="A43" s="292"/>
      <c r="B43" s="56" t="str">
        <f>'List of Courses'!B56</f>
        <v>CVL431</v>
      </c>
      <c r="C43" s="56" t="str">
        <f>'List of Courses'!C56</f>
        <v xml:space="preserve">Value &amp; Risk Management in Construction </v>
      </c>
      <c r="D43" s="56">
        <f>'List of Courses'!D56</f>
        <v>3</v>
      </c>
      <c r="E43" s="56">
        <f>'List of Courses'!E56</f>
        <v>5</v>
      </c>
      <c r="F43" s="56">
        <f>'List of Courses'!F56</f>
        <v>125</v>
      </c>
      <c r="G43" s="56">
        <f>'List of Courses'!G56</f>
        <v>2</v>
      </c>
      <c r="H43" s="56">
        <f>'List of Courses'!H56</f>
        <v>2</v>
      </c>
      <c r="I43" s="56">
        <f>'List of Courses'!I56</f>
        <v>0</v>
      </c>
      <c r="J43" s="56">
        <f>'List of Courses'!J56</f>
        <v>4</v>
      </c>
      <c r="K43" s="56" t="str">
        <f>'List of Courses'!K56</f>
        <v>CVL331</v>
      </c>
      <c r="L43" s="56">
        <f>'List of Courses'!L56</f>
        <v>0</v>
      </c>
      <c r="M43" s="56">
        <f>'List of Courses'!M56</f>
        <v>0</v>
      </c>
      <c r="N43" s="56">
        <f>'List of Courses'!N56</f>
        <v>0</v>
      </c>
      <c r="O43" s="56">
        <f>'List of Courses'!O56</f>
        <v>0</v>
      </c>
      <c r="P43" s="56">
        <f>'List of Courses'!P56</f>
        <v>1</v>
      </c>
      <c r="Q43" s="56">
        <f>'List of Courses'!Q56</f>
        <v>0</v>
      </c>
      <c r="R43" s="294"/>
      <c r="S43" s="53" t="str">
        <f>'List of Courses'!B63</f>
        <v>CVL441</v>
      </c>
      <c r="T43" s="53" t="str">
        <f>'List of Courses'!C63</f>
        <v>Fundamentals of Hydraulic Engineering</v>
      </c>
      <c r="U43" s="53">
        <f>'List of Courses'!D63</f>
        <v>3</v>
      </c>
      <c r="V43" s="53">
        <f>'List of Courses'!E63</f>
        <v>5</v>
      </c>
      <c r="W43" s="53">
        <f>'List of Courses'!F63</f>
        <v>125</v>
      </c>
      <c r="X43" s="53">
        <f>'List of Courses'!G63</f>
        <v>2</v>
      </c>
      <c r="Y43" s="53">
        <f>'List of Courses'!H63</f>
        <v>1</v>
      </c>
      <c r="Z43" s="53">
        <f>'List of Courses'!I63</f>
        <v>1</v>
      </c>
      <c r="AA43" s="53">
        <f>'List of Courses'!J63</f>
        <v>4</v>
      </c>
      <c r="AB43" s="53" t="str">
        <f>'List of Courses'!K63</f>
        <v>CVL341</v>
      </c>
      <c r="AC43" s="53">
        <f>'List of Courses'!L63</f>
        <v>0</v>
      </c>
      <c r="AD43" s="53">
        <f>'List of Courses'!M63</f>
        <v>0</v>
      </c>
      <c r="AE43" s="53">
        <f>'List of Courses'!N63</f>
        <v>0</v>
      </c>
      <c r="AF43" s="53">
        <f>'List of Courses'!O63</f>
        <v>1</v>
      </c>
      <c r="AG43" s="53">
        <f>'List of Courses'!P63</f>
        <v>0</v>
      </c>
      <c r="AH43" s="53">
        <f>'List of Courses'!Q63</f>
        <v>0</v>
      </c>
    </row>
    <row r="44" spans="1:34" x14ac:dyDescent="0.3">
      <c r="A44" s="292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294"/>
      <c r="S44" s="53" t="str">
        <f>'List of Courses'!B64</f>
        <v>CVL451</v>
      </c>
      <c r="T44" s="53" t="str">
        <f>'List of Courses'!C64</f>
        <v xml:space="preserve">Introduction to Transportation &amp; Highway Engineering </v>
      </c>
      <c r="U44" s="53">
        <f>'List of Courses'!D64</f>
        <v>3</v>
      </c>
      <c r="V44" s="53">
        <f>'List of Courses'!E64</f>
        <v>5</v>
      </c>
      <c r="W44" s="53">
        <f>'List of Courses'!F64</f>
        <v>125</v>
      </c>
      <c r="X44" s="53">
        <f>'List of Courses'!G64</f>
        <v>2</v>
      </c>
      <c r="Y44" s="53">
        <f>'List of Courses'!H64</f>
        <v>1</v>
      </c>
      <c r="Z44" s="53">
        <f>'List of Courses'!I64</f>
        <v>1</v>
      </c>
      <c r="AA44" s="53">
        <f>'List of Courses'!J64</f>
        <v>4</v>
      </c>
      <c r="AB44" s="53" t="str">
        <f>'List of Courses'!K64</f>
        <v>--</v>
      </c>
      <c r="AC44" s="53">
        <f>'List of Courses'!L64</f>
        <v>0</v>
      </c>
      <c r="AD44" s="53">
        <f>'List of Courses'!M64</f>
        <v>0</v>
      </c>
      <c r="AE44" s="53">
        <f>'List of Courses'!N64</f>
        <v>0</v>
      </c>
      <c r="AF44" s="53">
        <f>'List of Courses'!O64</f>
        <v>1</v>
      </c>
      <c r="AG44" s="53">
        <f>'List of Courses'!P64</f>
        <v>0</v>
      </c>
      <c r="AH44" s="53">
        <f>'List of Courses'!Q64</f>
        <v>0</v>
      </c>
    </row>
    <row r="45" spans="1:34" x14ac:dyDescent="0.3">
      <c r="A45" s="292"/>
      <c r="B45" s="3"/>
      <c r="C45" s="75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295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</row>
    <row r="46" spans="1:34" x14ac:dyDescent="0.3">
      <c r="D46" s="41">
        <f>SUM(D38:D45)</f>
        <v>18</v>
      </c>
      <c r="E46" s="41">
        <f t="shared" ref="E46:I46" si="6">SUM(E38:E45)</f>
        <v>30</v>
      </c>
      <c r="F46" s="41">
        <f t="shared" si="6"/>
        <v>750</v>
      </c>
      <c r="G46" s="41">
        <f t="shared" si="6"/>
        <v>12</v>
      </c>
      <c r="H46" s="41">
        <f t="shared" si="6"/>
        <v>10</v>
      </c>
      <c r="I46" s="41">
        <f t="shared" si="6"/>
        <v>2</v>
      </c>
      <c r="J46" s="41">
        <f>SUM(J38:J45)</f>
        <v>24</v>
      </c>
      <c r="L46" s="1"/>
      <c r="M46" s="1"/>
      <c r="N46" s="1"/>
      <c r="O46" s="1"/>
      <c r="P46" s="1"/>
      <c r="Q46" s="1"/>
      <c r="U46" s="41">
        <f t="shared" ref="U46:AA46" si="7">SUM(U38:U45)</f>
        <v>18</v>
      </c>
      <c r="V46" s="41">
        <f t="shared" si="7"/>
        <v>30</v>
      </c>
      <c r="W46" s="41">
        <f t="shared" si="7"/>
        <v>750</v>
      </c>
      <c r="X46" s="92">
        <f t="shared" si="7"/>
        <v>12</v>
      </c>
      <c r="Y46" s="92">
        <f t="shared" si="7"/>
        <v>9</v>
      </c>
      <c r="Z46" s="92">
        <f t="shared" si="7"/>
        <v>3</v>
      </c>
      <c r="AA46" s="41">
        <f t="shared" si="7"/>
        <v>24</v>
      </c>
      <c r="AC46" s="1"/>
      <c r="AD46" s="1"/>
      <c r="AE46" s="1"/>
      <c r="AF46" s="1"/>
      <c r="AG46" s="1"/>
    </row>
    <row r="48" spans="1:34" ht="14.4" customHeight="1" x14ac:dyDescent="0.3">
      <c r="A48" s="292" t="s">
        <v>61</v>
      </c>
      <c r="B48" s="290" t="s">
        <v>17</v>
      </c>
      <c r="C48" s="290" t="s">
        <v>18</v>
      </c>
      <c r="D48" s="290" t="s">
        <v>1</v>
      </c>
      <c r="E48" s="290"/>
      <c r="F48" s="290"/>
      <c r="G48" s="290" t="s">
        <v>2</v>
      </c>
      <c r="H48" s="290"/>
      <c r="I48" s="290"/>
      <c r="J48" s="290"/>
      <c r="K48" s="288" t="s">
        <v>19</v>
      </c>
      <c r="L48" s="288" t="s">
        <v>20</v>
      </c>
      <c r="M48" s="288" t="s">
        <v>21</v>
      </c>
      <c r="N48" s="289" t="s">
        <v>111</v>
      </c>
      <c r="O48" s="288" t="s">
        <v>22</v>
      </c>
      <c r="P48" s="288" t="s">
        <v>98</v>
      </c>
      <c r="Q48" s="288" t="s">
        <v>89</v>
      </c>
      <c r="R48" s="293" t="s">
        <v>62</v>
      </c>
      <c r="S48" s="290" t="s">
        <v>17</v>
      </c>
      <c r="T48" s="290" t="s">
        <v>18</v>
      </c>
      <c r="U48" s="290" t="s">
        <v>1</v>
      </c>
      <c r="V48" s="290"/>
      <c r="W48" s="290"/>
      <c r="X48" s="290" t="s">
        <v>2</v>
      </c>
      <c r="Y48" s="290"/>
      <c r="Z48" s="290"/>
      <c r="AA48" s="290"/>
      <c r="AB48" s="288" t="s">
        <v>19</v>
      </c>
      <c r="AC48" s="288" t="s">
        <v>20</v>
      </c>
      <c r="AD48" s="288" t="s">
        <v>21</v>
      </c>
      <c r="AE48" s="289" t="s">
        <v>111</v>
      </c>
      <c r="AF48" s="288" t="s">
        <v>22</v>
      </c>
      <c r="AG48" s="288" t="s">
        <v>98</v>
      </c>
      <c r="AH48" s="288" t="s">
        <v>89</v>
      </c>
    </row>
    <row r="49" spans="1:34" x14ac:dyDescent="0.3">
      <c r="A49" s="292"/>
      <c r="B49" s="290"/>
      <c r="C49" s="290"/>
      <c r="D49" s="16" t="s">
        <v>3</v>
      </c>
      <c r="E49" s="16" t="s">
        <v>4</v>
      </c>
      <c r="F49" s="16" t="s">
        <v>5</v>
      </c>
      <c r="G49" s="16" t="s">
        <v>6</v>
      </c>
      <c r="H49" s="16" t="s">
        <v>7</v>
      </c>
      <c r="I49" s="16" t="s">
        <v>8</v>
      </c>
      <c r="J49" s="16" t="s">
        <v>9</v>
      </c>
      <c r="K49" s="288"/>
      <c r="L49" s="288"/>
      <c r="M49" s="288"/>
      <c r="N49" s="289"/>
      <c r="O49" s="288"/>
      <c r="P49" s="288"/>
      <c r="Q49" s="288"/>
      <c r="R49" s="294"/>
      <c r="S49" s="290"/>
      <c r="T49" s="290"/>
      <c r="U49" s="16" t="s">
        <v>3</v>
      </c>
      <c r="V49" s="16" t="s">
        <v>4</v>
      </c>
      <c r="W49" s="16" t="s">
        <v>5</v>
      </c>
      <c r="X49" s="16" t="s">
        <v>6</v>
      </c>
      <c r="Y49" s="16" t="s">
        <v>7</v>
      </c>
      <c r="Z49" s="16" t="s">
        <v>8</v>
      </c>
      <c r="AA49" s="16" t="s">
        <v>9</v>
      </c>
      <c r="AB49" s="288"/>
      <c r="AC49" s="288"/>
      <c r="AD49" s="288"/>
      <c r="AE49" s="289"/>
      <c r="AF49" s="288"/>
      <c r="AG49" s="288"/>
      <c r="AH49" s="288"/>
    </row>
    <row r="50" spans="1:34" ht="14.4" customHeight="1" x14ac:dyDescent="0.3">
      <c r="A50" s="292"/>
      <c r="B50" s="53" t="str">
        <f>'List of Courses'!B15</f>
        <v>MTH216</v>
      </c>
      <c r="C50" s="53" t="str">
        <f>'List of Courses'!C15</f>
        <v>Numerical Methods</v>
      </c>
      <c r="D50" s="53">
        <f>'List of Courses'!D15</f>
        <v>3</v>
      </c>
      <c r="E50" s="53">
        <f>'List of Courses'!E15</f>
        <v>5</v>
      </c>
      <c r="F50" s="53">
        <f>'List of Courses'!F15</f>
        <v>125</v>
      </c>
      <c r="G50" s="53">
        <f>'List of Courses'!G15</f>
        <v>2</v>
      </c>
      <c r="H50" s="53">
        <f>'List of Courses'!H15</f>
        <v>2</v>
      </c>
      <c r="I50" s="53">
        <f>'List of Courses'!I15</f>
        <v>0</v>
      </c>
      <c r="J50" s="53">
        <f>'List of Courses'!J15</f>
        <v>4</v>
      </c>
      <c r="K50" s="53" t="str">
        <f>'List of Courses'!K15</f>
        <v>MTH214 &amp; MTH215</v>
      </c>
      <c r="L50" s="53">
        <f>'List of Courses'!L15</f>
        <v>0</v>
      </c>
      <c r="M50" s="53">
        <f>'List of Courses'!M15</f>
        <v>0</v>
      </c>
      <c r="N50" s="4">
        <f>'List of Courses'!N15</f>
        <v>1</v>
      </c>
      <c r="O50" s="53">
        <f>'List of Courses'!O15</f>
        <v>1</v>
      </c>
      <c r="P50" s="53">
        <f>'List of Courses'!P15</f>
        <v>0</v>
      </c>
      <c r="Q50" s="53">
        <f>'List of Courses'!Q15</f>
        <v>0</v>
      </c>
      <c r="R50" s="294"/>
      <c r="S50" s="56" t="str">
        <f>'List of Courses'!B73</f>
        <v>CVL E2</v>
      </c>
      <c r="T50" s="56" t="str">
        <f>'List of Courses'!C73</f>
        <v>Major Elective (2)</v>
      </c>
      <c r="U50" s="56">
        <f>'List of Courses'!D73</f>
        <v>3</v>
      </c>
      <c r="V50" s="56">
        <f>'List of Courses'!E73</f>
        <v>5</v>
      </c>
      <c r="W50" s="56">
        <f>'List of Courses'!F73</f>
        <v>125</v>
      </c>
      <c r="X50" s="56">
        <f>'List of Courses'!G73</f>
        <v>2</v>
      </c>
      <c r="Y50" s="56">
        <f>'List of Courses'!H73</f>
        <v>1</v>
      </c>
      <c r="Z50" s="56">
        <f>'List of Courses'!I73</f>
        <v>1</v>
      </c>
      <c r="AA50" s="56">
        <f>'List of Courses'!J73</f>
        <v>4</v>
      </c>
      <c r="AB50" s="56" t="str">
        <f>'List of Courses'!K73</f>
        <v>List</v>
      </c>
      <c r="AC50" s="56">
        <f>'List of Courses'!L73</f>
        <v>0</v>
      </c>
      <c r="AD50" s="56">
        <f>'List of Courses'!M73</f>
        <v>0</v>
      </c>
      <c r="AE50" s="56">
        <f>'List of Courses'!N73</f>
        <v>0</v>
      </c>
      <c r="AF50" s="56">
        <f>'List of Courses'!O73</f>
        <v>0</v>
      </c>
      <c r="AG50" s="56">
        <f>'List of Courses'!P73</f>
        <v>1</v>
      </c>
      <c r="AH50" s="57">
        <f>'List of Courses'!Q73</f>
        <v>1</v>
      </c>
    </row>
    <row r="51" spans="1:34" x14ac:dyDescent="0.3">
      <c r="A51" s="292"/>
      <c r="B51" s="56" t="str">
        <f>'List of Courses'!B58</f>
        <v>CVL433</v>
      </c>
      <c r="C51" s="56" t="str">
        <f>'List of Courses'!C58</f>
        <v>Infrastructure Asset Management</v>
      </c>
      <c r="D51" s="56">
        <f>'List of Courses'!D58</f>
        <v>3</v>
      </c>
      <c r="E51" s="56">
        <f>'List of Courses'!E58</f>
        <v>5</v>
      </c>
      <c r="F51" s="56">
        <f>'List of Courses'!F58</f>
        <v>125</v>
      </c>
      <c r="G51" s="56">
        <f>'List of Courses'!G58</f>
        <v>2</v>
      </c>
      <c r="H51" s="56">
        <f>'List of Courses'!H58</f>
        <v>2</v>
      </c>
      <c r="I51" s="56">
        <f>'List of Courses'!I58</f>
        <v>0</v>
      </c>
      <c r="J51" s="56">
        <f>'List of Courses'!J58</f>
        <v>4</v>
      </c>
      <c r="K51" s="56" t="str">
        <f>'List of Courses'!K58</f>
        <v>CVL431</v>
      </c>
      <c r="L51" s="56">
        <f>'List of Courses'!L58</f>
        <v>0</v>
      </c>
      <c r="M51" s="56">
        <f>'List of Courses'!M58</f>
        <v>0</v>
      </c>
      <c r="N51" s="56">
        <f>'List of Courses'!N58</f>
        <v>0</v>
      </c>
      <c r="O51" s="56">
        <f>'List of Courses'!O58</f>
        <v>0</v>
      </c>
      <c r="P51" s="56">
        <f>'List of Courses'!P58</f>
        <v>1</v>
      </c>
      <c r="Q51" s="56">
        <f>'List of Courses'!Q58</f>
        <v>0</v>
      </c>
      <c r="R51" s="294"/>
      <c r="S51" s="56" t="str">
        <f>'List of Courses'!B74</f>
        <v>CVL E3</v>
      </c>
      <c r="T51" s="56" t="str">
        <f>'List of Courses'!C74</f>
        <v>Major Elective (3)</v>
      </c>
      <c r="U51" s="56">
        <f>'List of Courses'!D74</f>
        <v>3</v>
      </c>
      <c r="V51" s="56">
        <f>'List of Courses'!E74</f>
        <v>5</v>
      </c>
      <c r="W51" s="56">
        <f>'List of Courses'!F74</f>
        <v>125</v>
      </c>
      <c r="X51" s="56">
        <f>'List of Courses'!G74</f>
        <v>2</v>
      </c>
      <c r="Y51" s="56">
        <f>'List of Courses'!H74</f>
        <v>1</v>
      </c>
      <c r="Z51" s="56">
        <f>'List of Courses'!I74</f>
        <v>1</v>
      </c>
      <c r="AA51" s="56">
        <f>'List of Courses'!J74</f>
        <v>4</v>
      </c>
      <c r="AB51" s="56" t="str">
        <f>'List of Courses'!K74</f>
        <v>List</v>
      </c>
      <c r="AC51" s="56">
        <f>'List of Courses'!L74</f>
        <v>0</v>
      </c>
      <c r="AD51" s="56">
        <f>'List of Courses'!M74</f>
        <v>0</v>
      </c>
      <c r="AE51" s="56">
        <f>'List of Courses'!N74</f>
        <v>0</v>
      </c>
      <c r="AF51" s="56">
        <f>'List of Courses'!O74</f>
        <v>0</v>
      </c>
      <c r="AG51" s="56">
        <f>'List of Courses'!P74</f>
        <v>1</v>
      </c>
      <c r="AH51" s="57">
        <f>'List of Courses'!Q74</f>
        <v>1</v>
      </c>
    </row>
    <row r="52" spans="1:34" x14ac:dyDescent="0.3">
      <c r="A52" s="292"/>
      <c r="B52" s="56" t="str">
        <f>'List of Courses'!B59</f>
        <v>CVL434</v>
      </c>
      <c r="C52" s="56" t="str">
        <f>'List of Courses'!C59</f>
        <v xml:space="preserve">Strategic Management in Construction </v>
      </c>
      <c r="D52" s="56">
        <f>'List of Courses'!D59</f>
        <v>3</v>
      </c>
      <c r="E52" s="56">
        <f>'List of Courses'!E59</f>
        <v>5</v>
      </c>
      <c r="F52" s="56">
        <f>'List of Courses'!F59</f>
        <v>125</v>
      </c>
      <c r="G52" s="56">
        <f>'List of Courses'!G59</f>
        <v>2</v>
      </c>
      <c r="H52" s="56">
        <f>'List of Courses'!H59</f>
        <v>2</v>
      </c>
      <c r="I52" s="56">
        <f>'List of Courses'!I59</f>
        <v>0</v>
      </c>
      <c r="J52" s="56">
        <f>'List of Courses'!J59</f>
        <v>4</v>
      </c>
      <c r="K52" s="56" t="str">
        <f>'List of Courses'!K59</f>
        <v>CVL432</v>
      </c>
      <c r="L52" s="56">
        <f>'List of Courses'!L59</f>
        <v>0</v>
      </c>
      <c r="M52" s="56">
        <f>'List of Courses'!M59</f>
        <v>0</v>
      </c>
      <c r="N52" s="56">
        <f>'List of Courses'!N59</f>
        <v>0</v>
      </c>
      <c r="O52" s="56">
        <f>'List of Courses'!O59</f>
        <v>0</v>
      </c>
      <c r="P52" s="56">
        <f>'List of Courses'!P59</f>
        <v>1</v>
      </c>
      <c r="Q52" s="56">
        <f>'List of Courses'!Q59</f>
        <v>0</v>
      </c>
      <c r="R52" s="294"/>
      <c r="S52" s="56" t="str">
        <f>'List of Courses'!B75</f>
        <v>CVL E4</v>
      </c>
      <c r="T52" s="56" t="str">
        <f>'List of Courses'!C75</f>
        <v>Major Elective (4)</v>
      </c>
      <c r="U52" s="56">
        <f>'List of Courses'!D75</f>
        <v>3</v>
      </c>
      <c r="V52" s="56">
        <f>'List of Courses'!E75</f>
        <v>5</v>
      </c>
      <c r="W52" s="56">
        <f>'List of Courses'!F75</f>
        <v>125</v>
      </c>
      <c r="X52" s="56">
        <f>'List of Courses'!G75</f>
        <v>2</v>
      </c>
      <c r="Y52" s="56">
        <f>'List of Courses'!H75</f>
        <v>1</v>
      </c>
      <c r="Z52" s="56">
        <f>'List of Courses'!I75</f>
        <v>1</v>
      </c>
      <c r="AA52" s="56">
        <f>'List of Courses'!J75</f>
        <v>4</v>
      </c>
      <c r="AB52" s="56" t="str">
        <f>'List of Courses'!K75</f>
        <v>List</v>
      </c>
      <c r="AC52" s="56">
        <f>'List of Courses'!L75</f>
        <v>0</v>
      </c>
      <c r="AD52" s="56">
        <f>'List of Courses'!M75</f>
        <v>0</v>
      </c>
      <c r="AE52" s="56">
        <f>'List of Courses'!N75</f>
        <v>0</v>
      </c>
      <c r="AF52" s="56">
        <f>'List of Courses'!O75</f>
        <v>0</v>
      </c>
      <c r="AG52" s="56">
        <f>'List of Courses'!P75</f>
        <v>1</v>
      </c>
      <c r="AH52" s="57">
        <f>'List of Courses'!Q75</f>
        <v>1</v>
      </c>
    </row>
    <row r="53" spans="1:34" x14ac:dyDescent="0.3">
      <c r="A53" s="292"/>
      <c r="B53" s="56" t="str">
        <f>'List of Courses'!B71</f>
        <v>MTH E</v>
      </c>
      <c r="C53" s="56" t="str">
        <f>'List of Courses'!C71</f>
        <v>Major Math Elective</v>
      </c>
      <c r="D53" s="56">
        <f>'List of Courses'!D71</f>
        <v>3</v>
      </c>
      <c r="E53" s="56">
        <f>'List of Courses'!E71</f>
        <v>5</v>
      </c>
      <c r="F53" s="56">
        <f>'List of Courses'!F71</f>
        <v>125</v>
      </c>
      <c r="G53" s="56">
        <f>'List of Courses'!G71</f>
        <v>2</v>
      </c>
      <c r="H53" s="56">
        <f>'List of Courses'!H71</f>
        <v>2</v>
      </c>
      <c r="I53" s="56">
        <f>'List of Courses'!I71</f>
        <v>0</v>
      </c>
      <c r="J53" s="56">
        <f>'List of Courses'!J71</f>
        <v>4</v>
      </c>
      <c r="K53" s="56" t="str">
        <f>'List of Courses'!K71</f>
        <v>List</v>
      </c>
      <c r="L53" s="56">
        <f>'List of Courses'!L71</f>
        <v>0</v>
      </c>
      <c r="M53" s="56">
        <f>'List of Courses'!M71</f>
        <v>0</v>
      </c>
      <c r="N53" s="56">
        <f>'List of Courses'!N71</f>
        <v>0</v>
      </c>
      <c r="O53" s="56">
        <f>'List of Courses'!O71</f>
        <v>0</v>
      </c>
      <c r="P53" s="56">
        <f>'List of Courses'!P71</f>
        <v>1</v>
      </c>
      <c r="Q53" s="57">
        <f>'List of Courses'!Q71</f>
        <v>1</v>
      </c>
      <c r="R53" s="294"/>
      <c r="S53" s="34" t="str">
        <f>'List of Courses'!B27</f>
        <v>INT E2</v>
      </c>
      <c r="T53" s="34" t="str">
        <f>'List of Courses'!C27</f>
        <v>Sustainable Development Electives</v>
      </c>
      <c r="U53" s="34">
        <f>'List of Courses'!D27</f>
        <v>3</v>
      </c>
      <c r="V53" s="34">
        <f>'List of Courses'!E27</f>
        <v>5</v>
      </c>
      <c r="W53" s="34">
        <f>'List of Courses'!F27</f>
        <v>125</v>
      </c>
      <c r="X53" s="34">
        <f>'List of Courses'!G27</f>
        <v>2</v>
      </c>
      <c r="Y53" s="34">
        <f>'List of Courses'!H27</f>
        <v>2</v>
      </c>
      <c r="Z53" s="34">
        <f>'List of Courses'!I27</f>
        <v>0</v>
      </c>
      <c r="AA53" s="34">
        <f>'List of Courses'!J27</f>
        <v>4</v>
      </c>
      <c r="AB53" s="34" t="str">
        <f>'List of Courses'!K27</f>
        <v>--</v>
      </c>
      <c r="AC53" s="34">
        <f>'List of Courses'!L27</f>
        <v>0</v>
      </c>
      <c r="AD53" s="34">
        <f>'List of Courses'!M27</f>
        <v>1</v>
      </c>
      <c r="AE53" s="34">
        <f>'List of Courses'!N27</f>
        <v>0</v>
      </c>
      <c r="AF53" s="34">
        <f>'List of Courses'!O27</f>
        <v>0</v>
      </c>
      <c r="AG53" s="34">
        <f>'List of Courses'!P27</f>
        <v>0</v>
      </c>
      <c r="AH53" s="57">
        <f>'List of Courses'!Q71</f>
        <v>1</v>
      </c>
    </row>
    <row r="54" spans="1:34" x14ac:dyDescent="0.3">
      <c r="A54" s="292"/>
      <c r="B54" s="56" t="str">
        <f>'List of Courses'!B72</f>
        <v>CVL E1</v>
      </c>
      <c r="C54" s="56" t="str">
        <f>'List of Courses'!C72</f>
        <v>Major Elective (1)</v>
      </c>
      <c r="D54" s="56">
        <f>'List of Courses'!D72</f>
        <v>3</v>
      </c>
      <c r="E54" s="56">
        <f>'List of Courses'!E72</f>
        <v>5</v>
      </c>
      <c r="F54" s="56">
        <f>'List of Courses'!F72</f>
        <v>125</v>
      </c>
      <c r="G54" s="56">
        <f>'List of Courses'!G72</f>
        <v>2</v>
      </c>
      <c r="H54" s="56">
        <f>'List of Courses'!H72</f>
        <v>1</v>
      </c>
      <c r="I54" s="56">
        <f>'List of Courses'!I72</f>
        <v>1</v>
      </c>
      <c r="J54" s="56">
        <f>'List of Courses'!J72</f>
        <v>4</v>
      </c>
      <c r="K54" s="56" t="str">
        <f>'List of Courses'!K72</f>
        <v>List</v>
      </c>
      <c r="L54" s="56">
        <f>'List of Courses'!L72</f>
        <v>0</v>
      </c>
      <c r="M54" s="56">
        <f>'List of Courses'!M72</f>
        <v>0</v>
      </c>
      <c r="N54" s="56">
        <f>'List of Courses'!N72</f>
        <v>0</v>
      </c>
      <c r="O54" s="56">
        <f>'List of Courses'!O72</f>
        <v>0</v>
      </c>
      <c r="P54" s="56">
        <f>'List of Courses'!P72</f>
        <v>1</v>
      </c>
      <c r="Q54" s="57">
        <f>'List of Courses'!Q72</f>
        <v>1</v>
      </c>
      <c r="R54" s="294"/>
      <c r="S54" s="34" t="str">
        <f>'List of Courses'!B28</f>
        <v>EBS111</v>
      </c>
      <c r="T54" s="34" t="str">
        <f>'List of Courses'!C28</f>
        <v xml:space="preserve">Selected Topics in Entrepreneurship </v>
      </c>
      <c r="U54" s="34">
        <f>'List of Courses'!D28</f>
        <v>3</v>
      </c>
      <c r="V54" s="34">
        <f>'List of Courses'!E28</f>
        <v>5</v>
      </c>
      <c r="W54" s="34">
        <f>'List of Courses'!F28</f>
        <v>125</v>
      </c>
      <c r="X54" s="34">
        <f>'List of Courses'!G28</f>
        <v>2</v>
      </c>
      <c r="Y54" s="34">
        <f>'List of Courses'!H28</f>
        <v>2</v>
      </c>
      <c r="Z54" s="34">
        <f>'List of Courses'!I28</f>
        <v>0</v>
      </c>
      <c r="AA54" s="34">
        <f>'List of Courses'!J28</f>
        <v>4</v>
      </c>
      <c r="AB54" s="34" t="str">
        <f>'List of Courses'!K28</f>
        <v>--</v>
      </c>
      <c r="AC54" s="34">
        <f>'List of Courses'!L28</f>
        <v>0</v>
      </c>
      <c r="AD54" s="34">
        <f>'List of Courses'!M28</f>
        <v>1</v>
      </c>
      <c r="AE54" s="34">
        <f>'List of Courses'!N28</f>
        <v>0</v>
      </c>
      <c r="AF54" s="34">
        <f>'List of Courses'!O28</f>
        <v>0</v>
      </c>
      <c r="AG54" s="34">
        <f>'List of Courses'!P28</f>
        <v>0</v>
      </c>
      <c r="AH54" s="3">
        <f>'List of Courses'!Q28</f>
        <v>0</v>
      </c>
    </row>
    <row r="55" spans="1:34" x14ac:dyDescent="0.3">
      <c r="A55" s="292"/>
      <c r="B55" s="53" t="str">
        <f>'List of Courses'!B68</f>
        <v>CVL493</v>
      </c>
      <c r="C55" s="53" t="str">
        <f>'List of Courses'!C68</f>
        <v>Graduation Project I</v>
      </c>
      <c r="D55" s="53">
        <f>'List of Courses'!D68</f>
        <v>3</v>
      </c>
      <c r="E55" s="53">
        <f>'List of Courses'!E68</f>
        <v>5</v>
      </c>
      <c r="F55" s="53">
        <f>'List of Courses'!F68</f>
        <v>125</v>
      </c>
      <c r="G55" s="53">
        <f>'List of Courses'!G68</f>
        <v>1</v>
      </c>
      <c r="H55" s="53">
        <f>'List of Courses'!H68</f>
        <v>0</v>
      </c>
      <c r="I55" s="53">
        <f>'List of Courses'!I68</f>
        <v>4</v>
      </c>
      <c r="J55" s="53">
        <f>'List of Courses'!J68</f>
        <v>5</v>
      </c>
      <c r="K55" s="53" t="str">
        <f>'List of Courses'!K68</f>
        <v>--</v>
      </c>
      <c r="L55" s="53">
        <f>'List of Courses'!L68</f>
        <v>0</v>
      </c>
      <c r="M55" s="53">
        <f>'List of Courses'!M68</f>
        <v>0</v>
      </c>
      <c r="N55" s="53">
        <f>'List of Courses'!N68</f>
        <v>0</v>
      </c>
      <c r="O55" s="53">
        <f>'List of Courses'!O68</f>
        <v>1</v>
      </c>
      <c r="P55" s="53">
        <f>'List of Courses'!P68</f>
        <v>0</v>
      </c>
      <c r="Q55" s="53">
        <f>'List of Courses'!Q68</f>
        <v>0</v>
      </c>
      <c r="R55" s="294"/>
      <c r="S55" s="53" t="str">
        <f>'List of Courses'!B69</f>
        <v>CVL494</v>
      </c>
      <c r="T55" s="53" t="str">
        <f>'List of Courses'!C69</f>
        <v>Graduation Project II</v>
      </c>
      <c r="U55" s="53">
        <f>'List of Courses'!D69</f>
        <v>3</v>
      </c>
      <c r="V55" s="53">
        <f>'List of Courses'!E69</f>
        <v>5</v>
      </c>
      <c r="W55" s="53">
        <f>'List of Courses'!F69</f>
        <v>125</v>
      </c>
      <c r="X55" s="53">
        <f>'List of Courses'!G69</f>
        <v>1</v>
      </c>
      <c r="Y55" s="53">
        <f>'List of Courses'!H69</f>
        <v>0</v>
      </c>
      <c r="Z55" s="53">
        <f>'List of Courses'!I69</f>
        <v>4</v>
      </c>
      <c r="AA55" s="53">
        <f>'List of Courses'!J69</f>
        <v>5</v>
      </c>
      <c r="AB55" s="53" t="str">
        <f>'List of Courses'!K69</f>
        <v>CVL493 (CO)</v>
      </c>
      <c r="AC55" s="53">
        <f>'List of Courses'!L69</f>
        <v>0</v>
      </c>
      <c r="AD55" s="53">
        <f>'List of Courses'!M69</f>
        <v>0</v>
      </c>
      <c r="AE55" s="53">
        <f>'List of Courses'!N69</f>
        <v>0</v>
      </c>
      <c r="AF55" s="53">
        <f>'List of Courses'!O69</f>
        <v>1</v>
      </c>
      <c r="AG55" s="53">
        <f>'List of Courses'!P69</f>
        <v>0</v>
      </c>
      <c r="AH55" s="53">
        <f>'List of Courses'!Q69</f>
        <v>0</v>
      </c>
    </row>
    <row r="56" spans="1:34" x14ac:dyDescent="0.3">
      <c r="A56" s="292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295"/>
      <c r="S56" s="3"/>
      <c r="T56" s="3"/>
      <c r="U56" s="5"/>
      <c r="V56" s="5"/>
      <c r="W56" s="5"/>
      <c r="X56" s="5"/>
      <c r="Y56" s="5"/>
      <c r="Z56" s="5"/>
      <c r="AA56" s="5"/>
      <c r="AB56" s="3"/>
      <c r="AC56" s="5"/>
      <c r="AD56" s="5"/>
      <c r="AE56" s="5"/>
      <c r="AF56" s="5"/>
      <c r="AG56" s="5"/>
      <c r="AH56" s="5"/>
    </row>
    <row r="57" spans="1:34" x14ac:dyDescent="0.3">
      <c r="D57" s="41">
        <f>SUM(D50:D56)</f>
        <v>18</v>
      </c>
      <c r="E57" s="41">
        <f t="shared" ref="E57:J57" si="8">SUM(E50:E56)</f>
        <v>30</v>
      </c>
      <c r="F57" s="41">
        <f>SUM(F50:F56)</f>
        <v>750</v>
      </c>
      <c r="G57" s="41">
        <f t="shared" si="8"/>
        <v>11</v>
      </c>
      <c r="H57" s="41">
        <f t="shared" si="8"/>
        <v>9</v>
      </c>
      <c r="I57" s="41">
        <f t="shared" si="8"/>
        <v>5</v>
      </c>
      <c r="J57" s="41">
        <f t="shared" si="8"/>
        <v>25</v>
      </c>
      <c r="L57" s="1"/>
      <c r="M57" s="1"/>
      <c r="N57" s="1"/>
      <c r="O57" s="1"/>
      <c r="P57" s="1"/>
      <c r="Q57" s="1"/>
      <c r="U57" s="41">
        <f>SUM(U50:U56)</f>
        <v>18</v>
      </c>
      <c r="V57" s="41">
        <f t="shared" ref="V57:AA57" si="9">SUM(V50:V56)</f>
        <v>30</v>
      </c>
      <c r="W57" s="41">
        <f t="shared" si="9"/>
        <v>750</v>
      </c>
      <c r="X57" s="41">
        <f t="shared" si="9"/>
        <v>11</v>
      </c>
      <c r="Y57" s="41">
        <f t="shared" si="9"/>
        <v>7</v>
      </c>
      <c r="Z57" s="41">
        <f t="shared" si="9"/>
        <v>7</v>
      </c>
      <c r="AA57" s="41">
        <f t="shared" si="9"/>
        <v>25</v>
      </c>
    </row>
    <row r="58" spans="1:34" x14ac:dyDescent="0.3">
      <c r="D58" s="18"/>
      <c r="L58" s="1"/>
      <c r="M58" s="1"/>
      <c r="N58" s="1"/>
      <c r="O58" s="1"/>
      <c r="P58" s="1"/>
      <c r="Q58" s="1"/>
    </row>
    <row r="59" spans="1:34" ht="14.4" customHeight="1" x14ac:dyDescent="0.3">
      <c r="R59" s="291" t="s">
        <v>396</v>
      </c>
      <c r="S59" s="290" t="s">
        <v>17</v>
      </c>
      <c r="T59" s="290" t="s">
        <v>18</v>
      </c>
      <c r="U59" s="290" t="s">
        <v>1</v>
      </c>
      <c r="V59" s="290"/>
      <c r="W59" s="290"/>
      <c r="X59" s="290" t="s">
        <v>2</v>
      </c>
      <c r="Y59" s="290"/>
      <c r="Z59" s="290"/>
      <c r="AA59" s="290"/>
      <c r="AB59" s="288" t="s">
        <v>19</v>
      </c>
      <c r="AC59" s="288" t="s">
        <v>20</v>
      </c>
      <c r="AD59" s="288" t="s">
        <v>21</v>
      </c>
      <c r="AE59" s="289" t="s">
        <v>111</v>
      </c>
      <c r="AF59" s="288" t="s">
        <v>22</v>
      </c>
      <c r="AG59" s="288" t="s">
        <v>98</v>
      </c>
      <c r="AH59" s="28"/>
    </row>
    <row r="60" spans="1:34" x14ac:dyDescent="0.3">
      <c r="R60" s="291"/>
      <c r="S60" s="290"/>
      <c r="T60" s="290"/>
      <c r="U60" s="16" t="s">
        <v>3</v>
      </c>
      <c r="V60" s="16" t="s">
        <v>4</v>
      </c>
      <c r="W60" s="16" t="s">
        <v>5</v>
      </c>
      <c r="X60" s="16" t="s">
        <v>6</v>
      </c>
      <c r="Y60" s="16" t="s">
        <v>7</v>
      </c>
      <c r="Z60" s="16" t="s">
        <v>8</v>
      </c>
      <c r="AA60" s="16" t="s">
        <v>9</v>
      </c>
      <c r="AB60" s="288"/>
      <c r="AC60" s="288"/>
      <c r="AD60" s="288"/>
      <c r="AE60" s="289"/>
      <c r="AF60" s="288"/>
      <c r="AG60" s="288"/>
      <c r="AH60" s="28"/>
    </row>
    <row r="61" spans="1:34" x14ac:dyDescent="0.3">
      <c r="R61" s="291"/>
      <c r="S61" s="57" t="str">
        <f>'List of Courses'!B48</f>
        <v>CVL381</v>
      </c>
      <c r="T61" s="261" t="str">
        <f>'List of Courses'!C48</f>
        <v>Computer Applications in Civil Engineering</v>
      </c>
      <c r="U61" s="57">
        <f>'List of Courses'!D48</f>
        <v>3</v>
      </c>
      <c r="V61" s="57">
        <f>'List of Courses'!E48</f>
        <v>5</v>
      </c>
      <c r="W61" s="57">
        <f>'List of Courses'!F48</f>
        <v>125</v>
      </c>
      <c r="X61" s="57">
        <f>'List of Courses'!G48</f>
        <v>2</v>
      </c>
      <c r="Y61" s="57">
        <f>'List of Courses'!H48</f>
        <v>0</v>
      </c>
      <c r="Z61" s="57">
        <f>'List of Courses'!I48</f>
        <v>2</v>
      </c>
      <c r="AA61" s="57">
        <f>'List of Courses'!J48</f>
        <v>4</v>
      </c>
      <c r="AB61" s="57" t="str">
        <f>'List of Courses'!K48</f>
        <v>--</v>
      </c>
      <c r="AC61" s="57">
        <f>'List of Courses'!L48</f>
        <v>0</v>
      </c>
      <c r="AD61" s="57">
        <f>'List of Courses'!M48</f>
        <v>0</v>
      </c>
      <c r="AE61" s="57">
        <f>'List of Courses'!N48</f>
        <v>0</v>
      </c>
      <c r="AF61" s="57">
        <f>'List of Courses'!O48</f>
        <v>0</v>
      </c>
      <c r="AG61" s="57">
        <f>'List of Courses'!P48</f>
        <v>1</v>
      </c>
      <c r="AH61" s="1"/>
    </row>
    <row r="62" spans="1:34" x14ac:dyDescent="0.3">
      <c r="R62" s="291"/>
      <c r="S62" s="57" t="str">
        <f>'List of Courses'!B67</f>
        <v>CVL481</v>
      </c>
      <c r="T62" s="261" t="str">
        <f>'List of Courses'!C67</f>
        <v>Advanced Surveying and GIS</v>
      </c>
      <c r="U62" s="57">
        <f>'List of Courses'!D67</f>
        <v>3</v>
      </c>
      <c r="V62" s="57">
        <f>'List of Courses'!E67</f>
        <v>5</v>
      </c>
      <c r="W62" s="57">
        <f>'List of Courses'!F67</f>
        <v>125</v>
      </c>
      <c r="X62" s="57">
        <f>'List of Courses'!G67</f>
        <v>1</v>
      </c>
      <c r="Y62" s="57">
        <f>'List of Courses'!H67</f>
        <v>2</v>
      </c>
      <c r="Z62" s="57">
        <f>'List of Courses'!I67</f>
        <v>2</v>
      </c>
      <c r="AA62" s="57">
        <f>'List of Courses'!J67</f>
        <v>5</v>
      </c>
      <c r="AB62" s="57" t="str">
        <f>'List of Courses'!K67</f>
        <v>CVL281</v>
      </c>
      <c r="AC62" s="57">
        <f>'List of Courses'!L67</f>
        <v>0</v>
      </c>
      <c r="AD62" s="57">
        <f>'List of Courses'!M67</f>
        <v>0</v>
      </c>
      <c r="AE62" s="57">
        <f>'List of Courses'!N67</f>
        <v>0</v>
      </c>
      <c r="AF62" s="57">
        <f>'List of Courses'!O67</f>
        <v>0</v>
      </c>
      <c r="AG62" s="57">
        <f>'List of Courses'!P67</f>
        <v>1</v>
      </c>
      <c r="AH62" s="1"/>
    </row>
    <row r="63" spans="1:34" x14ac:dyDescent="0.3">
      <c r="L63" s="1"/>
      <c r="M63" s="1"/>
      <c r="N63" s="1"/>
      <c r="O63" s="1"/>
      <c r="P63" s="1"/>
      <c r="Q63" s="1"/>
      <c r="R63" s="291"/>
      <c r="S63" s="57" t="str">
        <f>'List of Courses'!B53</f>
        <v>CVL413</v>
      </c>
      <c r="T63" s="261" t="str">
        <f>'List of Courses'!C53</f>
        <v>Repair and Strengthening of Buildings</v>
      </c>
      <c r="U63" s="57">
        <f>'List of Courses'!D53</f>
        <v>3</v>
      </c>
      <c r="V63" s="57">
        <f>'List of Courses'!E53</f>
        <v>5</v>
      </c>
      <c r="W63" s="57">
        <f>'List of Courses'!F53</f>
        <v>125</v>
      </c>
      <c r="X63" s="57">
        <f>'List of Courses'!G53</f>
        <v>2</v>
      </c>
      <c r="Y63" s="57">
        <f>'List of Courses'!H53</f>
        <v>2</v>
      </c>
      <c r="Z63" s="57">
        <f>'List of Courses'!I53</f>
        <v>0</v>
      </c>
      <c r="AA63" s="57">
        <f>'List of Courses'!J53</f>
        <v>4</v>
      </c>
      <c r="AB63" s="57" t="str">
        <f>'List of Courses'!K53</f>
        <v>CVL411</v>
      </c>
      <c r="AC63" s="57">
        <f>'List of Courses'!L53</f>
        <v>0</v>
      </c>
      <c r="AD63" s="57">
        <f>'List of Courses'!M53</f>
        <v>0</v>
      </c>
      <c r="AE63" s="57">
        <f>'List of Courses'!N53</f>
        <v>0</v>
      </c>
      <c r="AF63" s="57">
        <f>'List of Courses'!O53</f>
        <v>0</v>
      </c>
      <c r="AG63" s="57">
        <f>'List of Courses'!P53</f>
        <v>1</v>
      </c>
      <c r="AH63" s="1"/>
    </row>
    <row r="64" spans="1:34" x14ac:dyDescent="0.3">
      <c r="L64" s="1"/>
      <c r="M64" s="1"/>
      <c r="N64" s="1"/>
      <c r="O64" s="1"/>
      <c r="P64" s="1"/>
      <c r="Q64" s="1"/>
      <c r="R64" s="291"/>
      <c r="S64" s="57" t="str">
        <f>'List of Courses'!B55</f>
        <v>CVL422</v>
      </c>
      <c r="T64" s="261" t="str">
        <f>'List of Courses'!C55</f>
        <v>Quality Control of Smart Materials</v>
      </c>
      <c r="U64" s="57">
        <f>'List of Courses'!D55</f>
        <v>3</v>
      </c>
      <c r="V64" s="57">
        <f>'List of Courses'!E55</f>
        <v>5</v>
      </c>
      <c r="W64" s="57">
        <f>'List of Courses'!F55</f>
        <v>125</v>
      </c>
      <c r="X64" s="57">
        <f>'List of Courses'!G55</f>
        <v>2</v>
      </c>
      <c r="Y64" s="57">
        <f>'List of Courses'!H55</f>
        <v>2</v>
      </c>
      <c r="Z64" s="57">
        <f>'List of Courses'!I55</f>
        <v>0</v>
      </c>
      <c r="AA64" s="57">
        <f>'List of Courses'!J55</f>
        <v>4</v>
      </c>
      <c r="AB64" s="57" t="str">
        <f>'List of Courses'!K55</f>
        <v>--</v>
      </c>
      <c r="AC64" s="57">
        <f>'List of Courses'!L55</f>
        <v>0</v>
      </c>
      <c r="AD64" s="57">
        <f>'List of Courses'!M55</f>
        <v>0</v>
      </c>
      <c r="AE64" s="57">
        <f>'List of Courses'!N55</f>
        <v>0</v>
      </c>
      <c r="AF64" s="57">
        <f>'List of Courses'!O55</f>
        <v>0</v>
      </c>
      <c r="AG64" s="57">
        <f>'List of Courses'!P55</f>
        <v>1</v>
      </c>
      <c r="AH64" s="1"/>
    </row>
    <row r="65" spans="2:34" x14ac:dyDescent="0.3">
      <c r="Q65" s="1"/>
      <c r="R65" s="291"/>
      <c r="S65" s="57" t="str">
        <f>'List of Courses'!B60</f>
        <v>CVL435</v>
      </c>
      <c r="T65" s="57" t="str">
        <f>'List of Courses'!C60</f>
        <v>Real Estate &amp; Urban Planning Development</v>
      </c>
      <c r="U65" s="57">
        <f>'List of Courses'!D60</f>
        <v>3</v>
      </c>
      <c r="V65" s="57">
        <f>'List of Courses'!E60</f>
        <v>5</v>
      </c>
      <c r="W65" s="57">
        <f>'List of Courses'!F60</f>
        <v>125</v>
      </c>
      <c r="X65" s="57">
        <f>'List of Courses'!G60</f>
        <v>2</v>
      </c>
      <c r="Y65" s="57">
        <f>'List of Courses'!H60</f>
        <v>2</v>
      </c>
      <c r="Z65" s="57">
        <f>'List of Courses'!I60</f>
        <v>0</v>
      </c>
      <c r="AA65" s="57">
        <f>'List of Courses'!J60</f>
        <v>4</v>
      </c>
      <c r="AB65" s="57" t="str">
        <f>'List of Courses'!K60</f>
        <v>--</v>
      </c>
      <c r="AC65" s="57">
        <f>'List of Courses'!L60</f>
        <v>0</v>
      </c>
      <c r="AD65" s="57">
        <f>'List of Courses'!M60</f>
        <v>0</v>
      </c>
      <c r="AE65" s="57">
        <f>'List of Courses'!N60</f>
        <v>0</v>
      </c>
      <c r="AF65" s="57">
        <f>'List of Courses'!O60</f>
        <v>0</v>
      </c>
      <c r="AG65" s="57">
        <f>'List of Courses'!P60</f>
        <v>1</v>
      </c>
      <c r="AH65" s="1"/>
    </row>
    <row r="66" spans="2:34" x14ac:dyDescent="0.3">
      <c r="L66" s="1"/>
      <c r="M66" s="1"/>
      <c r="N66" s="1"/>
      <c r="O66" s="1"/>
      <c r="P66" s="1"/>
      <c r="Q66" s="1"/>
      <c r="R66" s="291"/>
      <c r="S66" s="57" t="str">
        <f>'List of Courses'!B61</f>
        <v>CVL436</v>
      </c>
      <c r="T66" s="57" t="str">
        <f>'List of Courses'!C61</f>
        <v xml:space="preserve">Principles of Management &amp; Human Resources  </v>
      </c>
      <c r="U66" s="57">
        <f>'List of Courses'!D61</f>
        <v>3</v>
      </c>
      <c r="V66" s="57">
        <f>'List of Courses'!E61</f>
        <v>5</v>
      </c>
      <c r="W66" s="57">
        <f>'List of Courses'!F61</f>
        <v>125</v>
      </c>
      <c r="X66" s="57">
        <f>'List of Courses'!G61</f>
        <v>2</v>
      </c>
      <c r="Y66" s="57">
        <f>'List of Courses'!H61</f>
        <v>2</v>
      </c>
      <c r="Z66" s="57">
        <f>'List of Courses'!I61</f>
        <v>0</v>
      </c>
      <c r="AA66" s="57">
        <f>'List of Courses'!J61</f>
        <v>4</v>
      </c>
      <c r="AB66" s="57" t="str">
        <f>'List of Courses'!K61</f>
        <v>--</v>
      </c>
      <c r="AC66" s="57">
        <f>'List of Courses'!L61</f>
        <v>0</v>
      </c>
      <c r="AD66" s="57">
        <f>'List of Courses'!M61</f>
        <v>0</v>
      </c>
      <c r="AE66" s="57">
        <f>'List of Courses'!N61</f>
        <v>0</v>
      </c>
      <c r="AF66" s="57">
        <f>'List of Courses'!O61</f>
        <v>0</v>
      </c>
      <c r="AG66" s="57">
        <f>'List of Courses'!P61</f>
        <v>1</v>
      </c>
      <c r="AH66" s="1"/>
    </row>
    <row r="67" spans="2:34" x14ac:dyDescent="0.3">
      <c r="L67" s="1"/>
      <c r="M67" s="1"/>
      <c r="N67" s="1"/>
      <c r="O67" s="1"/>
      <c r="P67" s="1"/>
      <c r="Q67" s="1"/>
      <c r="R67" s="291"/>
      <c r="S67" s="57" t="str">
        <f>'List of Courses'!B62</f>
        <v>CVL437</v>
      </c>
      <c r="T67" s="57" t="str">
        <f>'List of Courses'!C62</f>
        <v>Building Information Modeling</v>
      </c>
      <c r="U67" s="57">
        <f>'List of Courses'!D62</f>
        <v>3</v>
      </c>
      <c r="V67" s="57">
        <f>'List of Courses'!E62</f>
        <v>5</v>
      </c>
      <c r="W67" s="57">
        <f>'List of Courses'!F62</f>
        <v>125</v>
      </c>
      <c r="X67" s="57">
        <f>'List of Courses'!G62</f>
        <v>1</v>
      </c>
      <c r="Y67" s="57">
        <f>'List of Courses'!H62</f>
        <v>2</v>
      </c>
      <c r="Z67" s="57">
        <f>'List of Courses'!I62</f>
        <v>2</v>
      </c>
      <c r="AA67" s="57">
        <f>'List of Courses'!J62</f>
        <v>5</v>
      </c>
      <c r="AB67" s="57" t="str">
        <f>'List of Courses'!K62</f>
        <v>--</v>
      </c>
      <c r="AC67" s="57">
        <f>'List of Courses'!L62</f>
        <v>0</v>
      </c>
      <c r="AD67" s="57">
        <f>'List of Courses'!M62</f>
        <v>0</v>
      </c>
      <c r="AE67" s="57">
        <f>'List of Courses'!N62</f>
        <v>0</v>
      </c>
      <c r="AF67" s="57">
        <f>'List of Courses'!O62</f>
        <v>0</v>
      </c>
      <c r="AG67" s="57">
        <f>'List of Courses'!P62</f>
        <v>1</v>
      </c>
      <c r="AH67" s="1"/>
    </row>
    <row r="68" spans="2:34" x14ac:dyDescent="0.3">
      <c r="Q68" s="1"/>
      <c r="R68" s="291"/>
      <c r="S68" s="57" t="str">
        <f>'List of Courses'!B66</f>
        <v>CVL462</v>
      </c>
      <c r="T68" s="261" t="str">
        <f>'List of Courses'!C66</f>
        <v>GIS in Smart Structures and Systems</v>
      </c>
      <c r="U68" s="57">
        <f>'List of Courses'!D66</f>
        <v>3</v>
      </c>
      <c r="V68" s="57">
        <f>'List of Courses'!E66</f>
        <v>5</v>
      </c>
      <c r="W68" s="57">
        <f>'List of Courses'!F66</f>
        <v>125</v>
      </c>
      <c r="X68" s="57">
        <f>'List of Courses'!G66</f>
        <v>2</v>
      </c>
      <c r="Y68" s="57">
        <f>'List of Courses'!H66</f>
        <v>2</v>
      </c>
      <c r="Z68" s="57">
        <f>'List of Courses'!I66</f>
        <v>0</v>
      </c>
      <c r="AA68" s="57">
        <f>'List of Courses'!J66</f>
        <v>4</v>
      </c>
      <c r="AB68" s="57" t="str">
        <f>'List of Courses'!K66</f>
        <v>--</v>
      </c>
      <c r="AC68" s="57">
        <f>'List of Courses'!L66</f>
        <v>0</v>
      </c>
      <c r="AD68" s="57">
        <f>'List of Courses'!M66</f>
        <v>0</v>
      </c>
      <c r="AE68" s="57">
        <f>'List of Courses'!N66</f>
        <v>0</v>
      </c>
      <c r="AF68" s="57">
        <f>'List of Courses'!O66</f>
        <v>0</v>
      </c>
      <c r="AG68" s="57">
        <f>'List of Courses'!P66</f>
        <v>1</v>
      </c>
      <c r="AH68" s="1"/>
    </row>
    <row r="69" spans="2:34" x14ac:dyDescent="0.3">
      <c r="L69" s="1"/>
      <c r="M69" s="1"/>
      <c r="N69" s="1"/>
      <c r="O69" s="1"/>
      <c r="P69" s="1"/>
      <c r="Q69" s="1"/>
      <c r="R69" s="291"/>
      <c r="S69" s="57" t="str">
        <f>'List of Courses'!B70</f>
        <v>IND252</v>
      </c>
      <c r="T69" s="57" t="str">
        <f>'List of Courses'!C70</f>
        <v>Operation Research I</v>
      </c>
      <c r="U69" s="57">
        <f>'List of Courses'!D70</f>
        <v>3</v>
      </c>
      <c r="V69" s="57">
        <f>'List of Courses'!E70</f>
        <v>5</v>
      </c>
      <c r="W69" s="57">
        <f>'List of Courses'!F70</f>
        <v>125</v>
      </c>
      <c r="X69" s="57">
        <f>'List of Courses'!G70</f>
        <v>2</v>
      </c>
      <c r="Y69" s="57">
        <f>'List of Courses'!H70</f>
        <v>2</v>
      </c>
      <c r="Z69" s="57">
        <f>'List of Courses'!I70</f>
        <v>0</v>
      </c>
      <c r="AA69" s="57">
        <f>'List of Courses'!J70</f>
        <v>4</v>
      </c>
      <c r="AB69" s="57" t="str">
        <f>'List of Courses'!K70</f>
        <v>MTH214</v>
      </c>
      <c r="AC69" s="57">
        <f>'List of Courses'!L70</f>
        <v>0</v>
      </c>
      <c r="AD69" s="57">
        <f>'List of Courses'!M70</f>
        <v>0</v>
      </c>
      <c r="AE69" s="57">
        <f>'List of Courses'!N70</f>
        <v>0</v>
      </c>
      <c r="AF69" s="57">
        <f>'List of Courses'!O70</f>
        <v>0</v>
      </c>
      <c r="AG69" s="57">
        <f>'List of Courses'!P70</f>
        <v>1</v>
      </c>
      <c r="AH69" s="1"/>
    </row>
    <row r="70" spans="2:34" x14ac:dyDescent="0.3">
      <c r="L70" s="1"/>
      <c r="M70" s="1"/>
      <c r="N70" s="1"/>
      <c r="O70" s="1"/>
      <c r="P70" s="1"/>
      <c r="Q70" s="1"/>
      <c r="R70" s="76"/>
      <c r="AH70" s="1"/>
    </row>
    <row r="71" spans="2:34" x14ac:dyDescent="0.3">
      <c r="B71" s="21"/>
      <c r="C71" s="21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U71" s="18"/>
    </row>
    <row r="72" spans="2:34" ht="14.4" customHeight="1" x14ac:dyDescent="0.3">
      <c r="B72" s="21"/>
      <c r="C72" s="21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301" t="s">
        <v>397</v>
      </c>
      <c r="S72" s="290" t="s">
        <v>17</v>
      </c>
      <c r="T72" s="290" t="s">
        <v>18</v>
      </c>
      <c r="U72" s="290" t="s">
        <v>1</v>
      </c>
      <c r="V72" s="290"/>
      <c r="W72" s="290"/>
      <c r="X72" s="290" t="s">
        <v>2</v>
      </c>
      <c r="Y72" s="290"/>
      <c r="Z72" s="290"/>
      <c r="AA72" s="290"/>
      <c r="AB72" s="288" t="s">
        <v>19</v>
      </c>
      <c r="AC72" s="288" t="s">
        <v>20</v>
      </c>
      <c r="AD72" s="288" t="s">
        <v>21</v>
      </c>
      <c r="AE72" s="289" t="s">
        <v>111</v>
      </c>
      <c r="AF72" s="288" t="s">
        <v>22</v>
      </c>
      <c r="AG72" s="288" t="s">
        <v>98</v>
      </c>
    </row>
    <row r="73" spans="2:34" x14ac:dyDescent="0.3">
      <c r="B73" s="21"/>
      <c r="C73" s="21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302"/>
      <c r="S73" s="290"/>
      <c r="T73" s="290"/>
      <c r="U73" s="16" t="s">
        <v>3</v>
      </c>
      <c r="V73" s="16" t="s">
        <v>4</v>
      </c>
      <c r="W73" s="16" t="s">
        <v>5</v>
      </c>
      <c r="X73" s="16" t="s">
        <v>6</v>
      </c>
      <c r="Y73" s="16" t="s">
        <v>7</v>
      </c>
      <c r="Z73" s="16" t="s">
        <v>8</v>
      </c>
      <c r="AA73" s="16" t="s">
        <v>9</v>
      </c>
      <c r="AB73" s="288"/>
      <c r="AC73" s="288"/>
      <c r="AD73" s="288"/>
      <c r="AE73" s="289"/>
      <c r="AF73" s="288"/>
      <c r="AG73" s="288"/>
    </row>
    <row r="74" spans="2:34" x14ac:dyDescent="0.3">
      <c r="B74" s="21"/>
      <c r="C74" s="21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302"/>
      <c r="S74" s="57" t="str">
        <f>'List of Courses'!B16</f>
        <v>MTH317</v>
      </c>
      <c r="T74" s="111" t="str">
        <f>'List of Courses'!C16</f>
        <v>Introduction to Mathematical Optimization</v>
      </c>
      <c r="U74" s="57">
        <f>'List of Courses'!D16</f>
        <v>3</v>
      </c>
      <c r="V74" s="57">
        <f>'List of Courses'!E16</f>
        <v>5</v>
      </c>
      <c r="W74" s="57">
        <f>'List of Courses'!F16</f>
        <v>125</v>
      </c>
      <c r="X74" s="57">
        <f>'List of Courses'!G16</f>
        <v>2</v>
      </c>
      <c r="Y74" s="57">
        <f>'List of Courses'!H16</f>
        <v>2</v>
      </c>
      <c r="Z74" s="57">
        <f>'List of Courses'!I16</f>
        <v>0</v>
      </c>
      <c r="AA74" s="57">
        <f>'List of Courses'!J61</f>
        <v>4</v>
      </c>
      <c r="AB74" s="57" t="str">
        <f>'List of Courses'!K16</f>
        <v>MTH214</v>
      </c>
      <c r="AC74" s="57">
        <f>'List of Courses'!L16</f>
        <v>0</v>
      </c>
      <c r="AD74" s="57">
        <f>'List of Courses'!M16</f>
        <v>0</v>
      </c>
      <c r="AE74" s="57">
        <f>'List of Courses'!N16</f>
        <v>0</v>
      </c>
      <c r="AF74" s="57">
        <f>'List of Courses'!O16</f>
        <v>1</v>
      </c>
      <c r="AG74" s="57">
        <f>'List of Courses'!P16</f>
        <v>0</v>
      </c>
    </row>
    <row r="75" spans="2:34" x14ac:dyDescent="0.3">
      <c r="B75" s="21"/>
      <c r="C75" s="21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302"/>
      <c r="S75" s="57" t="str">
        <f>'List of Courses'!B17</f>
        <v>MTH318</v>
      </c>
      <c r="T75" s="111" t="str">
        <f>'List of Courses'!C17</f>
        <v>Advanced Numerical Analysis</v>
      </c>
      <c r="U75" s="57">
        <f>'List of Courses'!D17</f>
        <v>3</v>
      </c>
      <c r="V75" s="57">
        <f>'List of Courses'!E17</f>
        <v>5</v>
      </c>
      <c r="W75" s="57">
        <f>'List of Courses'!F17</f>
        <v>125</v>
      </c>
      <c r="X75" s="57">
        <f>'List of Courses'!G17</f>
        <v>2</v>
      </c>
      <c r="Y75" s="57">
        <f>'List of Courses'!H17</f>
        <v>2</v>
      </c>
      <c r="Z75" s="57">
        <f>'List of Courses'!I17</f>
        <v>0</v>
      </c>
      <c r="AA75" s="57">
        <f>'List of Courses'!J80</f>
        <v>0</v>
      </c>
      <c r="AB75" s="57" t="str">
        <f>'List of Courses'!K17</f>
        <v>MTH112 &amp; MTH113</v>
      </c>
      <c r="AC75" s="57">
        <f>'List of Courses'!L17</f>
        <v>0</v>
      </c>
      <c r="AD75" s="57">
        <f>'List of Courses'!M17</f>
        <v>0</v>
      </c>
      <c r="AE75" s="57">
        <f>'List of Courses'!N17</f>
        <v>0</v>
      </c>
      <c r="AF75" s="57">
        <f>'List of Courses'!O17</f>
        <v>1</v>
      </c>
      <c r="AG75" s="57">
        <f>'List of Courses'!P17</f>
        <v>0</v>
      </c>
    </row>
    <row r="76" spans="2:34" x14ac:dyDescent="0.3">
      <c r="B76" s="21"/>
      <c r="C76" s="21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303"/>
      <c r="S76" s="57" t="str">
        <f>'List of Courses'!B18</f>
        <v>MTH319</v>
      </c>
      <c r="T76" s="111" t="str">
        <f>'List of Courses'!C18</f>
        <v>Advanced Probability and Statistics</v>
      </c>
      <c r="U76" s="57">
        <f>'List of Courses'!D18</f>
        <v>3</v>
      </c>
      <c r="V76" s="57">
        <f>'List of Courses'!E18</f>
        <v>5</v>
      </c>
      <c r="W76" s="57">
        <f>'List of Courses'!F18</f>
        <v>125</v>
      </c>
      <c r="X76" s="57">
        <f>'List of Courses'!G18</f>
        <v>2</v>
      </c>
      <c r="Y76" s="57">
        <f>'List of Courses'!H18</f>
        <v>2</v>
      </c>
      <c r="Z76" s="57">
        <f>'List of Courses'!I18</f>
        <v>0</v>
      </c>
      <c r="AA76" s="57">
        <f>'List of Courses'!J66</f>
        <v>4</v>
      </c>
      <c r="AB76" s="57" t="str">
        <f>'List of Courses'!K18</f>
        <v>MTH216</v>
      </c>
      <c r="AC76" s="57">
        <f>'List of Courses'!L18</f>
        <v>0</v>
      </c>
      <c r="AD76" s="57">
        <f>'List of Courses'!M18</f>
        <v>0</v>
      </c>
      <c r="AE76" s="57">
        <f>'List of Courses'!N18</f>
        <v>0</v>
      </c>
      <c r="AF76" s="57">
        <f>'List of Courses'!O18</f>
        <v>1</v>
      </c>
      <c r="AG76" s="57">
        <f>'List of Courses'!P18</f>
        <v>0</v>
      </c>
    </row>
    <row r="77" spans="2:34" ht="14.4" customHeight="1" x14ac:dyDescent="0.3"/>
    <row r="80" spans="2:34" x14ac:dyDescent="0.3">
      <c r="D80" s="14"/>
      <c r="E80" s="14"/>
      <c r="F80" s="14"/>
      <c r="G80" s="14"/>
      <c r="H80" s="14"/>
      <c r="I80" s="14"/>
      <c r="J80" s="14"/>
      <c r="K80" s="15"/>
      <c r="L80" s="6"/>
      <c r="M80" s="6"/>
      <c r="N80" s="6"/>
      <c r="O80" s="6"/>
      <c r="P80" s="6"/>
      <c r="Q80" s="6"/>
    </row>
    <row r="81" spans="4:17" x14ac:dyDescent="0.3">
      <c r="D81" s="14"/>
      <c r="E81" s="14"/>
      <c r="F81" s="14"/>
      <c r="G81" s="14"/>
      <c r="H81" s="14"/>
      <c r="I81" s="14"/>
      <c r="J81" s="14"/>
      <c r="K81" s="15"/>
      <c r="L81" s="6"/>
      <c r="M81" s="6"/>
      <c r="N81" s="6"/>
      <c r="O81" s="6"/>
      <c r="P81" s="6"/>
      <c r="Q81" s="6"/>
    </row>
  </sheetData>
  <mergeCells count="125">
    <mergeCell ref="AF72:AF73"/>
    <mergeCell ref="AG72:AG73"/>
    <mergeCell ref="R72:R76"/>
    <mergeCell ref="S72:S73"/>
    <mergeCell ref="T72:T73"/>
    <mergeCell ref="U72:W72"/>
    <mergeCell ref="X72:AA72"/>
    <mergeCell ref="AB72:AB73"/>
    <mergeCell ref="AC72:AC73"/>
    <mergeCell ref="AD72:AD73"/>
    <mergeCell ref="AE72:AE73"/>
    <mergeCell ref="AH48:AH49"/>
    <mergeCell ref="AF24:AF25"/>
    <mergeCell ref="AG24:AG25"/>
    <mergeCell ref="S36:S37"/>
    <mergeCell ref="T36:T37"/>
    <mergeCell ref="U36:W36"/>
    <mergeCell ref="X36:AA36"/>
    <mergeCell ref="AB36:AB37"/>
    <mergeCell ref="AC36:AC37"/>
    <mergeCell ref="AD36:AD37"/>
    <mergeCell ref="AE36:AE37"/>
    <mergeCell ref="AF36:AF37"/>
    <mergeCell ref="AF48:AF49"/>
    <mergeCell ref="AG48:AG49"/>
    <mergeCell ref="X24:AA24"/>
    <mergeCell ref="S48:S49"/>
    <mergeCell ref="T48:T49"/>
    <mergeCell ref="U48:W48"/>
    <mergeCell ref="X48:AA48"/>
    <mergeCell ref="AB48:AB49"/>
    <mergeCell ref="AC48:AC49"/>
    <mergeCell ref="AD48:AD49"/>
    <mergeCell ref="AE48:AE49"/>
    <mergeCell ref="Q36:Q37"/>
    <mergeCell ref="Q48:Q49"/>
    <mergeCell ref="L2:L3"/>
    <mergeCell ref="M2:M3"/>
    <mergeCell ref="AH12:AH13"/>
    <mergeCell ref="AH24:AH25"/>
    <mergeCell ref="AH36:AH37"/>
    <mergeCell ref="AC12:AC13"/>
    <mergeCell ref="AD12:AD13"/>
    <mergeCell ref="AE12:AE13"/>
    <mergeCell ref="AF12:AF13"/>
    <mergeCell ref="AG12:AG13"/>
    <mergeCell ref="R36:R45"/>
    <mergeCell ref="O36:O37"/>
    <mergeCell ref="P36:P37"/>
    <mergeCell ref="R48:R56"/>
    <mergeCell ref="O48:O49"/>
    <mergeCell ref="P48:P49"/>
    <mergeCell ref="AB24:AB25"/>
    <mergeCell ref="AC24:AC25"/>
    <mergeCell ref="AD24:AD25"/>
    <mergeCell ref="AE24:AE25"/>
    <mergeCell ref="AG36:AG37"/>
    <mergeCell ref="U24:W24"/>
    <mergeCell ref="C2:C3"/>
    <mergeCell ref="D2:F2"/>
    <mergeCell ref="G2:J2"/>
    <mergeCell ref="K2:K3"/>
    <mergeCell ref="U12:W12"/>
    <mergeCell ref="X12:AA12"/>
    <mergeCell ref="AB12:AB13"/>
    <mergeCell ref="K12:K13"/>
    <mergeCell ref="L12:L13"/>
    <mergeCell ref="M12:M13"/>
    <mergeCell ref="N12:N13"/>
    <mergeCell ref="O12:O13"/>
    <mergeCell ref="P12:P13"/>
    <mergeCell ref="Q12:Q13"/>
    <mergeCell ref="S2:AH5"/>
    <mergeCell ref="A24:A33"/>
    <mergeCell ref="R24:R33"/>
    <mergeCell ref="R12:R21"/>
    <mergeCell ref="S12:S13"/>
    <mergeCell ref="T12:T13"/>
    <mergeCell ref="A12:A21"/>
    <mergeCell ref="B12:B13"/>
    <mergeCell ref="C12:C13"/>
    <mergeCell ref="D12:F12"/>
    <mergeCell ref="G12:J12"/>
    <mergeCell ref="K24:K25"/>
    <mergeCell ref="L24:L25"/>
    <mergeCell ref="M24:M25"/>
    <mergeCell ref="N24:N25"/>
    <mergeCell ref="O24:O25"/>
    <mergeCell ref="P24:P25"/>
    <mergeCell ref="S24:S25"/>
    <mergeCell ref="T24:T25"/>
    <mergeCell ref="B24:B25"/>
    <mergeCell ref="C24:C25"/>
    <mergeCell ref="D24:F24"/>
    <mergeCell ref="G24:J24"/>
    <mergeCell ref="Q24:Q25"/>
    <mergeCell ref="A36:A45"/>
    <mergeCell ref="B36:B37"/>
    <mergeCell ref="C36:C37"/>
    <mergeCell ref="D36:F36"/>
    <mergeCell ref="G36:J36"/>
    <mergeCell ref="K36:K37"/>
    <mergeCell ref="L36:L37"/>
    <mergeCell ref="M36:M37"/>
    <mergeCell ref="N36:N37"/>
    <mergeCell ref="R59:R69"/>
    <mergeCell ref="A48:A56"/>
    <mergeCell ref="B48:B49"/>
    <mergeCell ref="C48:C49"/>
    <mergeCell ref="D48:F48"/>
    <mergeCell ref="G48:J48"/>
    <mergeCell ref="K48:K49"/>
    <mergeCell ref="L48:L49"/>
    <mergeCell ref="M48:M49"/>
    <mergeCell ref="N48:N49"/>
    <mergeCell ref="AC59:AC60"/>
    <mergeCell ref="AD59:AD60"/>
    <mergeCell ref="AE59:AE60"/>
    <mergeCell ref="AF59:AF60"/>
    <mergeCell ref="AG59:AG60"/>
    <mergeCell ref="S59:S60"/>
    <mergeCell ref="T59:T60"/>
    <mergeCell ref="U59:W59"/>
    <mergeCell ref="X59:AA59"/>
    <mergeCell ref="AB59:AB60"/>
  </mergeCells>
  <phoneticPr fontId="10" type="noConversion"/>
  <conditionalFormatting sqref="D22">
    <cfRule type="cellIs" dxfId="191" priority="28" operator="greaterThan">
      <formula>18</formula>
    </cfRule>
  </conditionalFormatting>
  <conditionalFormatting sqref="D34">
    <cfRule type="cellIs" dxfId="190" priority="16" operator="greaterThan">
      <formula>18</formula>
    </cfRule>
  </conditionalFormatting>
  <conditionalFormatting sqref="D46">
    <cfRule type="cellIs" dxfId="189" priority="18" operator="greaterThan">
      <formula>18</formula>
    </cfRule>
  </conditionalFormatting>
  <conditionalFormatting sqref="D57">
    <cfRule type="cellIs" dxfId="188" priority="20" operator="greaterThan">
      <formula>18</formula>
    </cfRule>
  </conditionalFormatting>
  <conditionalFormatting sqref="E22">
    <cfRule type="cellIs" dxfId="187" priority="29" operator="greaterThan">
      <formula>30</formula>
    </cfRule>
  </conditionalFormatting>
  <conditionalFormatting sqref="E34">
    <cfRule type="cellIs" dxfId="186" priority="17" operator="greaterThan">
      <formula>30</formula>
    </cfRule>
  </conditionalFormatting>
  <conditionalFormatting sqref="E46">
    <cfRule type="cellIs" dxfId="185" priority="19" operator="greaterThan">
      <formula>30</formula>
    </cfRule>
  </conditionalFormatting>
  <conditionalFormatting sqref="E57">
    <cfRule type="cellIs" dxfId="184" priority="21" operator="greaterThan">
      <formula>30</formula>
    </cfRule>
  </conditionalFormatting>
  <conditionalFormatting sqref="F22">
    <cfRule type="cellIs" dxfId="183" priority="37" operator="greaterThan">
      <formula>750</formula>
    </cfRule>
  </conditionalFormatting>
  <conditionalFormatting sqref="F34">
    <cfRule type="cellIs" dxfId="182" priority="35" operator="greaterThan">
      <formula>750</formula>
    </cfRule>
  </conditionalFormatting>
  <conditionalFormatting sqref="F46">
    <cfRule type="cellIs" dxfId="181" priority="33" operator="greaterThan">
      <formula>750</formula>
    </cfRule>
  </conditionalFormatting>
  <conditionalFormatting sqref="F57">
    <cfRule type="cellIs" dxfId="180" priority="31" operator="greaterThan">
      <formula>750</formula>
    </cfRule>
  </conditionalFormatting>
  <conditionalFormatting sqref="J22">
    <cfRule type="cellIs" dxfId="179" priority="50" operator="greaterThan">
      <formula>25</formula>
    </cfRule>
  </conditionalFormatting>
  <conditionalFormatting sqref="J34">
    <cfRule type="cellIs" dxfId="178" priority="44" operator="greaterThan">
      <formula>25</formula>
    </cfRule>
  </conditionalFormatting>
  <conditionalFormatting sqref="J46">
    <cfRule type="cellIs" dxfId="177" priority="43" operator="greaterThan">
      <formula>25</formula>
    </cfRule>
  </conditionalFormatting>
  <conditionalFormatting sqref="J57">
    <cfRule type="cellIs" dxfId="176" priority="42" operator="greaterThan">
      <formula>25</formula>
    </cfRule>
  </conditionalFormatting>
  <conditionalFormatting sqref="M4">
    <cfRule type="cellIs" dxfId="175" priority="9" operator="lessThan">
      <formula>$L$4</formula>
    </cfRule>
  </conditionalFormatting>
  <conditionalFormatting sqref="M5">
    <cfRule type="cellIs" dxfId="174" priority="8" operator="lessThan">
      <formula>$L$5</formula>
    </cfRule>
  </conditionalFormatting>
  <conditionalFormatting sqref="M6">
    <cfRule type="cellIs" dxfId="173" priority="7" operator="lessThan">
      <formula>$L$6</formula>
    </cfRule>
  </conditionalFormatting>
  <conditionalFormatting sqref="M7">
    <cfRule type="cellIs" dxfId="172" priority="6" operator="lessThan">
      <formula>$L$7</formula>
    </cfRule>
  </conditionalFormatting>
  <conditionalFormatting sqref="M8">
    <cfRule type="cellIs" dxfId="171" priority="5" operator="greaterThan">
      <formula>$L$8</formula>
    </cfRule>
  </conditionalFormatting>
  <conditionalFormatting sqref="M9">
    <cfRule type="cellIs" dxfId="170" priority="1" operator="lessThan">
      <formula>$L$9</formula>
    </cfRule>
  </conditionalFormatting>
  <conditionalFormatting sqref="U22">
    <cfRule type="cellIs" dxfId="169" priority="26" operator="greaterThan">
      <formula>18</formula>
    </cfRule>
  </conditionalFormatting>
  <conditionalFormatting sqref="U34">
    <cfRule type="cellIs" dxfId="168" priority="14" operator="greaterThan">
      <formula>18</formula>
    </cfRule>
  </conditionalFormatting>
  <conditionalFormatting sqref="U46">
    <cfRule type="cellIs" dxfId="167" priority="12" operator="greaterThan">
      <formula>18</formula>
    </cfRule>
  </conditionalFormatting>
  <conditionalFormatting sqref="U57">
    <cfRule type="cellIs" dxfId="166" priority="10" operator="greaterThan">
      <formula>18</formula>
    </cfRule>
  </conditionalFormatting>
  <conditionalFormatting sqref="V22">
    <cfRule type="cellIs" dxfId="165" priority="27" operator="greaterThan">
      <formula>30</formula>
    </cfRule>
  </conditionalFormatting>
  <conditionalFormatting sqref="V34">
    <cfRule type="cellIs" dxfId="164" priority="15" operator="greaterThan">
      <formula>30</formula>
    </cfRule>
  </conditionalFormatting>
  <conditionalFormatting sqref="V46">
    <cfRule type="cellIs" dxfId="163" priority="13" operator="greaterThan">
      <formula>30</formula>
    </cfRule>
  </conditionalFormatting>
  <conditionalFormatting sqref="V57">
    <cfRule type="cellIs" dxfId="162" priority="11" operator="greaterThan">
      <formula>30</formula>
    </cfRule>
  </conditionalFormatting>
  <conditionalFormatting sqref="W22">
    <cfRule type="cellIs" dxfId="161" priority="36" operator="greaterThan">
      <formula>750</formula>
    </cfRule>
  </conditionalFormatting>
  <conditionalFormatting sqref="W34">
    <cfRule type="cellIs" dxfId="160" priority="34" operator="greaterThan">
      <formula>750</formula>
    </cfRule>
  </conditionalFormatting>
  <conditionalFormatting sqref="W46">
    <cfRule type="cellIs" dxfId="159" priority="32" operator="greaterThan">
      <formula>750</formula>
    </cfRule>
  </conditionalFormatting>
  <conditionalFormatting sqref="W57">
    <cfRule type="cellIs" dxfId="158" priority="30" operator="greaterThan">
      <formula>750</formula>
    </cfRule>
  </conditionalFormatting>
  <conditionalFormatting sqref="AA22">
    <cfRule type="cellIs" dxfId="157" priority="38" operator="greaterThan">
      <formula>25</formula>
    </cfRule>
  </conditionalFormatting>
  <conditionalFormatting sqref="AA34">
    <cfRule type="cellIs" dxfId="156" priority="39" operator="greaterThan">
      <formula>25</formula>
    </cfRule>
  </conditionalFormatting>
  <conditionalFormatting sqref="AA46">
    <cfRule type="cellIs" dxfId="155" priority="40" operator="greaterThan">
      <formula>25</formula>
    </cfRule>
  </conditionalFormatting>
  <conditionalFormatting sqref="AA57">
    <cfRule type="cellIs" dxfId="154" priority="41" operator="greaterThan">
      <formula>25</formula>
    </cfRule>
  </conditionalFormatting>
  <printOptions horizontalCentered="1" verticalCentered="1"/>
  <pageMargins left="0.16" right="0.25" top="0.16" bottom="0.16" header="0.16" footer="0.16"/>
  <pageSetup paperSize="9" scale="41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1E40EA-2133-41FD-B9EF-25038C28027B}">
  <sheetPr>
    <tabColor rgb="FFFFC000"/>
    <pageSetUpPr fitToPage="1"/>
  </sheetPr>
  <dimension ref="A2:AH81"/>
  <sheetViews>
    <sheetView topLeftCell="A24" zoomScale="50" zoomScaleNormal="50" workbookViewId="0">
      <selection activeCell="L75" sqref="L75"/>
    </sheetView>
  </sheetViews>
  <sheetFormatPr defaultRowHeight="14.4" x14ac:dyDescent="0.3"/>
  <cols>
    <col min="1" max="1" width="8.88671875" customWidth="1"/>
    <col min="3" max="3" width="49.6640625" customWidth="1"/>
    <col min="5" max="5" width="6.33203125" customWidth="1"/>
    <col min="6" max="6" width="7.33203125" bestFit="1" customWidth="1"/>
    <col min="7" max="8" width="7.6640625" customWidth="1"/>
    <col min="9" max="9" width="7.33203125" customWidth="1"/>
    <col min="10" max="10" width="7.109375" customWidth="1"/>
    <col min="11" max="11" width="11.6640625" customWidth="1"/>
    <col min="12" max="12" width="8.77734375" bestFit="1" customWidth="1"/>
    <col min="13" max="13" width="9.77734375" customWidth="1"/>
    <col min="14" max="14" width="6.88671875" customWidth="1"/>
    <col min="15" max="15" width="6.21875" customWidth="1"/>
    <col min="16" max="16" width="6.33203125" customWidth="1"/>
    <col min="17" max="17" width="6.77734375" customWidth="1"/>
    <col min="20" max="20" width="53.33203125" customWidth="1"/>
    <col min="22" max="22" width="6.33203125" bestFit="1" customWidth="1"/>
    <col min="23" max="23" width="7.33203125" customWidth="1"/>
    <col min="24" max="25" width="8.88671875" customWidth="1"/>
    <col min="26" max="26" width="8.109375" customWidth="1"/>
    <col min="27" max="27" width="8.88671875" customWidth="1"/>
    <col min="31" max="31" width="8" customWidth="1"/>
  </cols>
  <sheetData>
    <row r="2" spans="1:34" ht="21" customHeight="1" x14ac:dyDescent="0.3">
      <c r="B2" s="29"/>
      <c r="C2" s="296" t="s">
        <v>0</v>
      </c>
      <c r="D2" s="298" t="s">
        <v>1</v>
      </c>
      <c r="E2" s="298"/>
      <c r="F2" s="298"/>
      <c r="G2" s="298" t="s">
        <v>2</v>
      </c>
      <c r="H2" s="298"/>
      <c r="I2" s="298"/>
      <c r="J2" s="298"/>
      <c r="K2" s="298" t="s">
        <v>82</v>
      </c>
      <c r="L2" s="298" t="s">
        <v>81</v>
      </c>
      <c r="M2" s="298" t="s">
        <v>83</v>
      </c>
      <c r="R2" s="82"/>
      <c r="S2" s="300" t="s">
        <v>101</v>
      </c>
      <c r="T2" s="300"/>
      <c r="U2" s="300"/>
      <c r="V2" s="300"/>
      <c r="W2" s="300"/>
      <c r="X2" s="300"/>
      <c r="Y2" s="300"/>
      <c r="Z2" s="300"/>
      <c r="AA2" s="300"/>
      <c r="AB2" s="300"/>
      <c r="AC2" s="300"/>
      <c r="AD2" s="300"/>
      <c r="AE2" s="300"/>
      <c r="AF2" s="300"/>
      <c r="AG2" s="300"/>
      <c r="AH2" s="300"/>
    </row>
    <row r="3" spans="1:34" ht="14.4" customHeight="1" x14ac:dyDescent="0.3">
      <c r="B3" s="29"/>
      <c r="C3" s="297"/>
      <c r="D3" s="17" t="s">
        <v>3</v>
      </c>
      <c r="E3" s="17" t="s">
        <v>4</v>
      </c>
      <c r="F3" s="17" t="s">
        <v>5</v>
      </c>
      <c r="G3" s="17" t="s">
        <v>6</v>
      </c>
      <c r="H3" s="17" t="s">
        <v>7</v>
      </c>
      <c r="I3" s="17" t="s">
        <v>8</v>
      </c>
      <c r="J3" s="17" t="s">
        <v>9</v>
      </c>
      <c r="K3" s="299"/>
      <c r="L3" s="299"/>
      <c r="M3" s="299"/>
      <c r="Q3" s="82"/>
      <c r="R3" s="82"/>
      <c r="S3" s="300"/>
      <c r="T3" s="300"/>
      <c r="U3" s="300"/>
      <c r="V3" s="300"/>
      <c r="W3" s="300"/>
      <c r="X3" s="300"/>
      <c r="Y3" s="300"/>
      <c r="Z3" s="300"/>
      <c r="AA3" s="300"/>
      <c r="AB3" s="300"/>
      <c r="AC3" s="300"/>
      <c r="AD3" s="300"/>
      <c r="AE3" s="300"/>
      <c r="AF3" s="300"/>
      <c r="AG3" s="300"/>
      <c r="AH3" s="300"/>
    </row>
    <row r="4" spans="1:34" ht="14.4" customHeight="1" x14ac:dyDescent="0.3">
      <c r="B4" s="77"/>
      <c r="C4" s="37" t="s">
        <v>10</v>
      </c>
      <c r="D4" s="7" cm="1">
        <f t="array" ref="D4">SUM(SUM(D14:D21*$L14:$L21),SUM(U14:U21*$AC14:$AC21), SUM(D26:D33*$L26:$L33), SUM(U26:U33*$AC26:$AC33), SUM(D38:D45*$L38:$L45), SUM(U38:U45*$AC38:$AC45),SUM(D50:D56*$L50:$L56), SUM(U50:U56*$AC50:$AC56))</f>
        <v>12</v>
      </c>
      <c r="E4" s="7" cm="1">
        <f t="array" ref="E4">SUM(SUM(E14:E21*$L14:$L21),SUM(V14:V21*$AC14:$AC21), SUM(E26:E33*$L26:$L33), SUM(V26:V33*$AC26:$AC33), SUM(E38:E45*$L38:$L45), SUM(V38:V45*$AC38:$AC45),SUM(E50:E56*$L50:$L56), SUM(V50:V56*$AC50:$AC56))</f>
        <v>20</v>
      </c>
      <c r="F4" s="7" cm="1">
        <f t="array" ref="F4">SUM(SUM(F14:F21*$L14:$L21),SUM(W14:W21*$AC14:$AC21), SUM(F26:F33*$L26:$L33), SUM(W26:W33*$AC26:$AC33), SUM(F38:F45*$L38:$L45), SUM(W38:W45*$AC38:$AC45),SUM(F50:F56*$L50:$L56), SUM(W50:W56*$AC50:$AC56))</f>
        <v>500</v>
      </c>
      <c r="G4" s="7" cm="1">
        <f t="array" ref="G4">SUM(SUM(G14:G21*$L14:$L21),SUM(X14:X21*$AC14:$AC21), SUM(G26:G33*$L26:$L33), SUM(X26:X33*$AC26:$AC33), SUM(G38:G45*$L38:$L45), SUM(X38:X45*$AC38:$AC45),SUM(G50:G56*$L50:$L56), SUM(X50:X56*$AC50:$AC56))</f>
        <v>10</v>
      </c>
      <c r="H4" s="7" cm="1">
        <f t="array" ref="H4">SUM(SUM(H14:H21*$L14:$L21),SUM(Y14:Y21*$AC14:$AC21), SUM(H26:H33*$L26:$L33), SUM(Y26:Y33*$AC26:$AC33), SUM(H38:H45*$L38:$L45), SUM(Y38:Y45*$AC38:$AC45),SUM(H50:H56*$L50:$L56), SUM(Y50:Y56*$AC50:$AC56))</f>
        <v>2</v>
      </c>
      <c r="I4" s="7" cm="1">
        <f t="array" ref="I4">SUM(SUM(I14:I21*$L14:$L21),SUM(Z14:Z21*$AC14:$AC21), SUM(I26:I33*$L26:$L33), SUM(Z26:Z33*$AC26:$AC33), SUM(I38:I45*$L38:$L45), SUM(Z38:Z45*$AC38:$AC45),SUM(I50:I56*$L50:$L56), SUM(Z50:Z56*$AC50:$AC56))</f>
        <v>2</v>
      </c>
      <c r="J4" s="7" cm="1">
        <f t="array" ref="J4">SUM(SUM(J14:J21*$L14:$L21),SUM(AA14:AA21*$AC14:$AC21), SUM(J26:J33*$L26:$L33), SUM(AA26:AA33*$AC26:$AC33), SUM(J38:J45*$L38:$L45), SUM(AA38:AA45*$AC38:$AC45),SUM(J50:J56*$L50:$L56), SUM(AA50:AA56*$AC50:$AC56))</f>
        <v>14</v>
      </c>
      <c r="K4" s="72" t="s">
        <v>11</v>
      </c>
      <c r="L4" s="49">
        <v>0.08</v>
      </c>
      <c r="M4" s="259">
        <f t="shared" ref="M4:M9" si="0">D4/$D$10</f>
        <v>8.3333333333333329E-2</v>
      </c>
      <c r="Q4" s="82"/>
      <c r="R4" s="82"/>
      <c r="S4" s="300"/>
      <c r="T4" s="300"/>
      <c r="U4" s="300"/>
      <c r="V4" s="300"/>
      <c r="W4" s="300"/>
      <c r="X4" s="300"/>
      <c r="Y4" s="300"/>
      <c r="Z4" s="300"/>
      <c r="AA4" s="300"/>
      <c r="AB4" s="300"/>
      <c r="AC4" s="300"/>
      <c r="AD4" s="300"/>
      <c r="AE4" s="300"/>
      <c r="AF4" s="300"/>
      <c r="AG4" s="300"/>
      <c r="AH4" s="300"/>
    </row>
    <row r="5" spans="1:34" ht="14.4" customHeight="1" x14ac:dyDescent="0.3">
      <c r="B5" s="77"/>
      <c r="C5" s="85" t="s">
        <v>12</v>
      </c>
      <c r="D5" s="35" cm="1">
        <f t="array" ref="D5">SUM(SUM(D14:D21*$M14:$M21),SUM(U14:U21*$AD14:$AD21), SUM(D26:D33*$M26:$M33), SUM(U26:U33*$AD26:$AD33), SUM(D38:D45*$M38:$M45), SUM(U38:U45*$AD38:$AD45),SUM(D50:D56*$M50:$M56), SUM(U50:U56*$AD50:$AD56))</f>
        <v>30</v>
      </c>
      <c r="E5" s="35" cm="1">
        <f t="array" ref="E5">SUM(SUM(E14:E21*$M14:$M21),SUM(V14:V21*$AD14:$AD21), SUM(E26:E33*$M26:$M33), SUM(V26:V33*$AD26:$AD33), SUM(E38:E45*$M38:$M45), SUM(V38:V45*$AD38:$AD45),SUM(E50:E56*$M50:$M56), SUM(V50:V56*$AD50:$AD56))</f>
        <v>50</v>
      </c>
      <c r="F5" s="35" cm="1">
        <f t="array" ref="F5">SUM(SUM(F14:F21*$M14:$M21),SUM(W14:W21*$AD14:$AD21), SUM(F26:F33*$M26:$M33), SUM(W26:W33*$AD26:$AD33), SUM(F38:F45*$M38:$M45), SUM(W38:W45*$AD38:$AD45),SUM(F50:F56*$M50:$M56), SUM(W50:W56*$AD50:$AD56))</f>
        <v>1250</v>
      </c>
      <c r="G5" s="35" cm="1">
        <f t="array" ref="G5">SUM(SUM(G14:G21*$M14:$M21),SUM(X14:X21*$AD14:$AD21), SUM(G26:G33*$M26:$M33), SUM(X26:X33*$AD26:$AD33), SUM(G38:G45*$M38:$M45), SUM(X38:X45*$AD38:$AD45),SUM(G50:G56*$M50:$M56), SUM(X50:X56*$AD50:$AD56))</f>
        <v>20</v>
      </c>
      <c r="H5" s="35" cm="1">
        <f t="array" ref="H5">SUM(SUM(H14:H21*$M14:$M21),SUM(Y14:Y21*$AD14:$AD21), SUM(H26:H33*$M26:$M33), SUM(Y26:Y33*$AD26:$AD33), SUM(H38:H45*$M38:$M45), SUM(Y38:Y45*$AD38:$AD45),SUM(H50:H56*$M50:$M56), SUM(Y50:Y56*$AD50:$AD56))</f>
        <v>16</v>
      </c>
      <c r="I5" s="35" cm="1">
        <f t="array" ref="I5">SUM(SUM(I14:I21*$M14:$M21),SUM(Z14:Z21*$AD14:$AD21), SUM(I26:I33*$M26:$M33), SUM(Z26:Z33*$AD26:$AD33), SUM(I38:I45*$M38:$M45), SUM(Z38:Z45*$AD38:$AD45),SUM(I50:I56*$M50:$M56), SUM(Z50:Z56*$AD50:$AD56))</f>
        <v>5</v>
      </c>
      <c r="J5" s="35" cm="1">
        <f t="array" ref="J5">SUM(SUM(J14:J21*$M14:$M21),SUM(AA14:AA21*$AD14:$AD21), SUM(J26:J33*$M26:$M33), SUM(AA26:AA33*$AD26:$AD33), SUM(J38:J45*$M38:$M45), SUM(AA38:AA45*$AD38:$AD45),SUM(J50:J56*$M50:$M56), SUM(AA50:AA56*$AD50:$AD56))</f>
        <v>41</v>
      </c>
      <c r="K5" s="35" t="s">
        <v>13</v>
      </c>
      <c r="L5" s="36">
        <v>0.2</v>
      </c>
      <c r="M5" s="36">
        <f t="shared" si="0"/>
        <v>0.20833333333333334</v>
      </c>
      <c r="Q5" s="82"/>
      <c r="R5" s="82"/>
      <c r="S5" s="300"/>
      <c r="T5" s="300"/>
      <c r="U5" s="300"/>
      <c r="V5" s="300"/>
      <c r="W5" s="300"/>
      <c r="X5" s="300"/>
      <c r="Y5" s="300"/>
      <c r="Z5" s="300"/>
      <c r="AA5" s="300"/>
      <c r="AB5" s="300"/>
      <c r="AC5" s="300"/>
      <c r="AD5" s="300"/>
      <c r="AE5" s="300"/>
      <c r="AF5" s="300"/>
      <c r="AG5" s="300"/>
      <c r="AH5" s="300"/>
    </row>
    <row r="6" spans="1:34" x14ac:dyDescent="0.3">
      <c r="B6" s="77"/>
      <c r="C6" s="39" t="s">
        <v>14</v>
      </c>
      <c r="D6" s="40" cm="1">
        <f t="array" ref="D6">SUM(SUM(D14:D21*$N14:$N21),SUM(U14:U21*$AE14:$AE21), SUM(D26:D33*$N26:$N33), SUM(U26:U33*$AE26:$AE33), SUM(D38:D45*$N38:$N45), SUM(U38:U45*$AE38:$AE45),SUM(D50:D56*$N50:$N56), SUM(U50:U56*$AE50:$AE56))</f>
        <v>27</v>
      </c>
      <c r="E6" s="40" cm="1">
        <f t="array" ref="E6">SUM(SUM(E14:E21*$N14:$N21),SUM(V14:V21*$AE14:$AE21), SUM(E26:E33*$N26:$N33), SUM(V26:V33*$AE26:$AE33), SUM(E38:E45*$N38:$N45), SUM(V38:V45*$AE38:$AE45),SUM(E50:E56*$N50:$N56), SUM(V50:V56*$AE50:$AE56))</f>
        <v>45</v>
      </c>
      <c r="F6" s="40" cm="1">
        <f t="array" ref="F6">SUM(SUM(F14:F21*$N14:$N21),SUM(W14:W21*$AE14:$AE21), SUM(F26:F33*$N26:$N33), SUM(W26:W33*$AE26:$AE33), SUM(F38:F45*$N38:$N45), SUM(W38:W45*$AE38:$AE45),SUM(F50:F56*$N50:$N56), SUM(W50:W56*$AE50:$AE56))</f>
        <v>1125</v>
      </c>
      <c r="G6" s="40" cm="1">
        <f t="array" ref="G6">SUM(SUM(G14:G21*$N14:$N21),SUM(X14:X21*$AE14:$AE21), SUM(G26:G33*$N26:$N33), SUM(X26:X33*$AE26:$AE33), SUM(G38:G45*$N38:$N45), SUM(X38:X45*$AE38:$AE45),SUM(G50:G56*$N50:$N56), SUM(X50:X56*$AE50:$AE56))</f>
        <v>18</v>
      </c>
      <c r="H6" s="40" cm="1">
        <f t="array" ref="H6">SUM(SUM(H14:H21*$N14:$N21),SUM(Y14:Y21*$AE14:$AE21), SUM(H26:H33*$N26:$N33), SUM(Y26:Y33*$AE26:$AE33), SUM(H38:H45*$N38:$N45), SUM(Y38:Y45*$AE38:$AE45),SUM(H50:H56*$N50:$N56), SUM(Y50:Y56*$AE50:$AE56))</f>
        <v>17</v>
      </c>
      <c r="I6" s="40" cm="1">
        <f t="array" ref="I6">SUM(SUM(I14:I21*$N14:$N21),SUM(Z14:Z21*$AE14:$AE21), SUM(I26:I33*$N26:$N33), SUM(Z26:Z33*$AE26:$AE33), SUM(I38:I45*$N38:$N45), SUM(Z38:Z45*$AE38:$AE45),SUM(I50:I56*$N50:$N56), SUM(Z50:Z56*$AE50:$AE56))</f>
        <v>2</v>
      </c>
      <c r="J6" s="40" cm="1">
        <f t="array" ref="J6">SUM(SUM(J14:J21*$N14:$N21),SUM(AA14:AA21*$AE14:$AE21), SUM(J26:J33*$N26:$N33), SUM(AA26:AA33*$AE26:$AE33), SUM(J38:J45*$N38:$N45), SUM(AA38:AA45*$AE38:$AE45),SUM(J50:J56*$N50:$N56), SUM(AA50:AA56*$AE50:$AE56))</f>
        <v>37</v>
      </c>
      <c r="K6" s="40" t="s">
        <v>87</v>
      </c>
      <c r="L6" s="48">
        <v>0.17</v>
      </c>
      <c r="M6" s="48">
        <f t="shared" si="0"/>
        <v>0.1875</v>
      </c>
    </row>
    <row r="7" spans="1:34" x14ac:dyDescent="0.3">
      <c r="B7" s="77"/>
      <c r="C7" s="43" t="s">
        <v>103</v>
      </c>
      <c r="D7" s="44" cm="1">
        <f t="array" ref="D7">SUM(SUM(D14:D21*$O14:$O21),SUM(U14:U21*$AF14:$AF21), SUM(D26:D33*$O26:$O33), SUM(U26:U33*$AF26:$AF33), SUM(D38:D45*$O38:$O45), SUM(U38:U45*$AF38:$AF45),SUM(D50:D56*$O50:$O56), SUM(U50:U56*$AF50:$AF56))</f>
        <v>66</v>
      </c>
      <c r="E7" s="44" cm="1">
        <f t="array" ref="E7">SUM(SUM(E14:E21*$O14:$O21),SUM(V14:V21*$AF14:$AF21), SUM(E26:E33*$O26:$O33), SUM(V26:V33*$AF26:$AF33), SUM(E38:E45*$O38:$O45), SUM(V38:V45*$AF38:$AF45),SUM(E50:E56*$O50:$O56), SUM(V50:V56*$AF50:$AF56))</f>
        <v>110</v>
      </c>
      <c r="F7" s="44" cm="1">
        <f t="array" ref="F7">SUM(SUM(F14:F21*$O14:$O21),SUM(W14:W21*$AF14:$AF21), SUM(F26:F33*$O26:$O33), SUM(W26:W33*$AF26:$AF33), SUM(F38:F45*$O38:$O45), SUM(W38:W45*$AF38:$AF45),SUM(F50:F56*$O50:$O56), SUM(W50:W56*$AF50:$AF56))</f>
        <v>2750</v>
      </c>
      <c r="G7" s="44" cm="1">
        <f t="array" ref="G7">SUM(SUM(G14:G21*$O14:$O21),SUM(X14:X21*$AF14:$AF21), SUM(G26:G33*$O26:$O33), SUM(X26:X33*$AF26:$AF33), SUM(G38:G45*$O38:$O45), SUM(X38:X45*$AF38:$AF45),SUM(G50:G56*$O50:$O56), SUM(X50:X56*$AF50:$AF56))</f>
        <v>40</v>
      </c>
      <c r="H7" s="44" cm="1">
        <f t="array" ref="H7">SUM(SUM(H14:H21*$O14:$O21),SUM(Y14:Y21*$AF14:$AF21), SUM(H26:H33*$O26:$O33), SUM(Y26:Y33*$AF26:$AF33), SUM(H38:H45*$O38:$O45), SUM(Y38:Y45*$AF38:$AF45),SUM(H50:H56*$O50:$O56), SUM(Y50:Y56*$AF50:$AF56))</f>
        <v>33</v>
      </c>
      <c r="I7" s="44" cm="1">
        <f t="array" ref="I7">SUM(SUM(I14:I21*$O14:$O21),SUM(Z14:Z21*$AF14:$AF21), SUM(I26:I33*$O26:$O33), SUM(Z26:Z33*$AF26:$AF33), SUM(I38:I45*$O38:$O45), SUM(Z38:Z45*$AF38:$AF45),SUM(I50:I56*$O50:$O56), SUM(Z50:Z56*$AF50:$AF56))</f>
        <v>19</v>
      </c>
      <c r="J7" s="44" cm="1">
        <f t="array" ref="J7">SUM(SUM(J14:J21*$O14:$O21),SUM(AA14:AA21*$AF14:$AF21), SUM(J26:J33*$O26:$O33), SUM(AA26:AA33*$AF26:$AF33), SUM(J38:J45*$O38:$O45), SUM(AA38:AA45*$AF38:$AF45),SUM(J50:J56*$O50:$O56), SUM(AA50:AA56*$AF50:$AF56))</f>
        <v>92</v>
      </c>
      <c r="K7" s="44" t="s">
        <v>88</v>
      </c>
      <c r="L7" s="47">
        <v>0.35</v>
      </c>
      <c r="M7" s="47">
        <f t="shared" si="0"/>
        <v>0.45833333333333331</v>
      </c>
      <c r="N7" s="2"/>
      <c r="O7" s="84"/>
      <c r="P7" s="2"/>
      <c r="Q7" s="2"/>
      <c r="R7" s="2"/>
      <c r="S7" s="2"/>
      <c r="T7" s="2"/>
      <c r="U7" s="2"/>
      <c r="V7" s="2"/>
      <c r="W7" s="2"/>
    </row>
    <row r="8" spans="1:34" x14ac:dyDescent="0.3">
      <c r="B8" s="77"/>
      <c r="C8" s="45" t="s">
        <v>113</v>
      </c>
      <c r="D8" s="46" cm="1">
        <f t="array" ref="D8">SUM(SUM(D14:D21*$P14:$P21),SUM(U14:U21*$AG14:$AG21), SUM(D26:D33*$P26:$P33), SUM(U26:U33*$AG26:$AG33), SUM(D38:D45*$P38:$P45), SUM(U38:U45*$AG38:$AG45),SUM(D50:D56*$P50:$P56), SUM(U50:U56*$AG50:$AG56))</f>
        <v>36</v>
      </c>
      <c r="E8" s="46" cm="1">
        <f t="array" ref="E8">SUM(SUM(E14:E21*$P14:$P21),SUM(V14:V21*$AG14:$AG21), SUM(E26:E33*$P26:$P33), SUM(V26:V33*$AG26:$AG33), SUM(E38:E45*$P38:$P45), SUM(V38:V45*$AG38:$AG45),SUM(E50:E56*$P50:$P56), SUM(V50:V56*$AG50:$AG56))</f>
        <v>60</v>
      </c>
      <c r="F8" s="46" cm="1">
        <f t="array" ref="F8">SUM(SUM(F14:F21*$P14:$P21),SUM(W14:W21*$AG14:$AG21), SUM(F26:F33*$P26:$P33), SUM(W26:W33*$AG26:$AG33), SUM(F38:F45*$P38:$P45), SUM(W38:W45*$AG38:$AG45),SUM(F50:F56*$P50:$P56), SUM(W50:W56*$AG50:$AG56))</f>
        <v>1500</v>
      </c>
      <c r="G8" s="46" cm="1">
        <f t="array" ref="G8">SUM(SUM(G14:G21*$P14:$P21),SUM(X14:X21*$AG14:$AG21), SUM(G26:G33*$P26:$P33), SUM(X26:X33*$AG26:$AG33), SUM(G38:G45*$P38:$P45), SUM(X38:X45*$AG38:$AG45),SUM(G50:G56*$P50:$P56), SUM(X50:X56*$AG50:$AG56))</f>
        <v>24</v>
      </c>
      <c r="H8" s="46" cm="1">
        <f t="array" ref="H8">SUM(SUM(H14:H21*$P14:$P21),SUM(Y14:Y21*$AG14:$AG21), SUM(H26:H33*$P26:$P33), SUM(Y26:Y33*$AG26:$AG33), SUM(H38:H45*$P38:$P45), SUM(Y38:Y45*$AG38:$AG45),SUM(H50:H56*$P50:$P56), SUM(Y50:Y56*$AG50:$AG56))</f>
        <v>19</v>
      </c>
      <c r="I8" s="46" cm="1">
        <f t="array" ref="I8">SUM(SUM(I14:I21*$P14:$P21),SUM(Z14:Z21*$AG14:$AG21), SUM(I26:I33*$P26:$P33), SUM(Z26:Z33*$AG26:$AG33), SUM(I38:I45*$P38:$P45), SUM(Z38:Z45*$AG38:$AG45),SUM(I50:I56*$P50:$P56), SUM(Z50:Z56*$AG50:$AG56))</f>
        <v>5</v>
      </c>
      <c r="J8" s="46" cm="1">
        <f t="array" ref="J8">SUM(SUM(J14:J21*$P14:$P21),SUM(AA14:AA21*$AG14:$AG21), SUM(J26:J33*$P26:$P33), SUM(AA26:AA33*$AG26:$AG33), SUM(J38:J45*$P38:$P45), SUM(AA38:AA45*$AG38:$AG45),SUM(J50:J56*$P50:$P56), SUM(AA50:AA56*$AG50:$AG56))</f>
        <v>48</v>
      </c>
      <c r="K8" s="73" t="s">
        <v>15</v>
      </c>
      <c r="L8" s="71">
        <v>0.3</v>
      </c>
      <c r="M8" s="71">
        <f t="shared" si="0"/>
        <v>0.25</v>
      </c>
      <c r="O8" s="260">
        <f>M4+M5+M7+M8</f>
        <v>1</v>
      </c>
    </row>
    <row r="9" spans="1:34" x14ac:dyDescent="0.3">
      <c r="B9" s="77"/>
      <c r="C9" s="67" t="s">
        <v>115</v>
      </c>
      <c r="D9" s="68" cm="1">
        <f t="array" ref="D9">SUM(SUM(D14:D21*$Q14:$Q21),SUM(U14:U21*$AH14:$AH21), SUM(D26:D33*$Q26:$Q33), SUM(U26:U33*$AH26:$AH33), SUM(D38:D45*$Q38:$Q45), SUM(U38:U45*$AH38:$AH45),SUM(D50:D56*$Q50:$Q56), SUM(U50:U56*$AH50:$AH56))</f>
        <v>24</v>
      </c>
      <c r="E9" s="68" cm="1">
        <f t="array" ref="E9">SUM(SUM(E14:E21*$Q14:$Q21),SUM(V14:V21*$AH14:$AH21), SUM(E26:E33*$Q26:$Q33), SUM(V26:V33*$AH26:$AH33), SUM(E38:E45*$Q38:$Q45), SUM(V38:V45*$AH38:$AH45),SUM(E50:E56*$Q50:$Q56), SUM(V50:V56*$AH50:$AH56))</f>
        <v>40</v>
      </c>
      <c r="F9" s="68" cm="1">
        <f t="array" ref="F9">SUM(SUM(F14:F21*$Q14:$Q21),SUM(W14:W21*$AH14:$AH21), SUM(F26:F33*$Q26:$Q33), SUM(W26:W33*$AH26:$AH33), SUM(F38:F45*$Q38:$Q45), SUM(W38:W45*$AH38:$AH45),SUM(F50:F56*$Q50:$Q56), SUM(W50:W56*$AH50:$AH56))</f>
        <v>1000</v>
      </c>
      <c r="G9" s="68" cm="1">
        <f t="array" ref="G9">SUM(SUM(G14:G21*$Q14:$Q21),SUM(X14:X21*$AH14:$AH21), SUM(G26:G33*$Q26:$Q33), SUM(X26:X33*$AH26:$AH33), SUM(G38:G45*$Q38:$Q45), SUM(X38:X45*$AH38:$AH45),SUM(G50:G56*$Q50:$Q56), SUM(X50:X56*$AH50:$AH56))</f>
        <v>17</v>
      </c>
      <c r="H9" s="68" cm="1">
        <f t="array" ref="H9">SUM(SUM(H14:H21*$Q14:$Q21),SUM(Y14:Y21*$AH14:$AH21), SUM(H26:H33*$Q26:$Q33), SUM(Y26:Y33*$AH26:$AH33), SUM(H38:H45*$Q38:$Q45), SUM(Y38:Y45*$AH38:$AH45),SUM(H50:H56*$Q50:$Q56), SUM(Y50:Y56*$AH50:$AH56))</f>
        <v>10</v>
      </c>
      <c r="I9" s="68" cm="1">
        <f t="array" ref="I9">SUM(SUM(I14:I21*$Q14:$Q21),SUM(Z14:Z21*$AH14:$AH21), SUM(I26:I33*$Q26:$Q33), SUM(Z26:Z33*$AH26:$AH33), SUM(I38:I45*$Q38:$Q45), SUM(Z38:Z45*$AH38:$AH45),SUM(I50:I56*$Q50:$Q56), SUM(Z50:Z56*$AH50:$AH56))</f>
        <v>4</v>
      </c>
      <c r="J9" s="68" cm="1">
        <f t="array" ref="J9">SUM(SUM(J14:J21*$Q14:$Q21),SUM(AA14:AA21*$AH14:$AH21), SUM(J26:J33*$Q26:$Q33), SUM(AA26:AA33*$AH26:$AH33), SUM(J38:J45*$Q38:$Q45), SUM(AA38:AA45*$AH38:$AH45),SUM(J50:J56*$Q50:$Q56), SUM(AA50:AA56*$AH50:$AH56))</f>
        <v>31</v>
      </c>
      <c r="K9" s="74" t="s">
        <v>86</v>
      </c>
      <c r="L9" s="69">
        <v>0.15</v>
      </c>
      <c r="M9" s="69">
        <f t="shared" si="0"/>
        <v>0.16666666666666666</v>
      </c>
    </row>
    <row r="10" spans="1:34" ht="15.6" customHeight="1" x14ac:dyDescent="0.3">
      <c r="C10" s="70" t="s">
        <v>92</v>
      </c>
      <c r="D10" s="41">
        <f>D22+U22+D34+U34+D46+U46+D57+U57</f>
        <v>144</v>
      </c>
      <c r="E10" s="41">
        <f>E22+V22+E34+V34+E46+V46+E57+V57</f>
        <v>240</v>
      </c>
      <c r="F10" s="41">
        <f t="shared" ref="F10:J10" si="1">F22+W22+F34+W34+F46+W46+F57+W57</f>
        <v>6000</v>
      </c>
      <c r="G10" s="41">
        <f t="shared" si="1"/>
        <v>94</v>
      </c>
      <c r="H10" s="41">
        <f t="shared" si="1"/>
        <v>70</v>
      </c>
      <c r="I10" s="41">
        <f t="shared" si="1"/>
        <v>31</v>
      </c>
      <c r="J10" s="41">
        <f t="shared" si="1"/>
        <v>195</v>
      </c>
      <c r="K10" s="42"/>
      <c r="L10" s="31"/>
      <c r="M10" s="38"/>
      <c r="N10" s="13"/>
    </row>
    <row r="12" spans="1:34" ht="14.4" customHeight="1" x14ac:dyDescent="0.3">
      <c r="A12" s="292" t="s">
        <v>16</v>
      </c>
      <c r="B12" s="290" t="s">
        <v>17</v>
      </c>
      <c r="C12" s="290" t="s">
        <v>18</v>
      </c>
      <c r="D12" s="290" t="s">
        <v>1</v>
      </c>
      <c r="E12" s="290"/>
      <c r="F12" s="290"/>
      <c r="G12" s="290" t="s">
        <v>2</v>
      </c>
      <c r="H12" s="290"/>
      <c r="I12" s="290"/>
      <c r="J12" s="290"/>
      <c r="K12" s="288" t="s">
        <v>19</v>
      </c>
      <c r="L12" s="288" t="s">
        <v>20</v>
      </c>
      <c r="M12" s="288" t="s">
        <v>21</v>
      </c>
      <c r="N12" s="289" t="s">
        <v>111</v>
      </c>
      <c r="O12" s="288" t="s">
        <v>22</v>
      </c>
      <c r="P12" s="288" t="s">
        <v>98</v>
      </c>
      <c r="Q12" s="288" t="s">
        <v>89</v>
      </c>
      <c r="R12" s="293" t="s">
        <v>23</v>
      </c>
      <c r="S12" s="290" t="s">
        <v>17</v>
      </c>
      <c r="T12" s="290" t="s">
        <v>18</v>
      </c>
      <c r="U12" s="290" t="s">
        <v>1</v>
      </c>
      <c r="V12" s="290"/>
      <c r="W12" s="290"/>
      <c r="X12" s="290" t="s">
        <v>2</v>
      </c>
      <c r="Y12" s="290"/>
      <c r="Z12" s="290"/>
      <c r="AA12" s="290"/>
      <c r="AB12" s="288" t="s">
        <v>19</v>
      </c>
      <c r="AC12" s="288" t="s">
        <v>20</v>
      </c>
      <c r="AD12" s="288" t="s">
        <v>21</v>
      </c>
      <c r="AE12" s="289" t="s">
        <v>111</v>
      </c>
      <c r="AF12" s="288" t="s">
        <v>22</v>
      </c>
      <c r="AG12" s="288" t="s">
        <v>98</v>
      </c>
      <c r="AH12" s="288" t="s">
        <v>89</v>
      </c>
    </row>
    <row r="13" spans="1:34" x14ac:dyDescent="0.3">
      <c r="A13" s="292"/>
      <c r="B13" s="290"/>
      <c r="C13" s="290"/>
      <c r="D13" s="16" t="s">
        <v>3</v>
      </c>
      <c r="E13" s="16" t="s">
        <v>4</v>
      </c>
      <c r="F13" s="16" t="s">
        <v>5</v>
      </c>
      <c r="G13" s="16" t="s">
        <v>6</v>
      </c>
      <c r="H13" s="16" t="s">
        <v>7</v>
      </c>
      <c r="I13" s="16" t="s">
        <v>8</v>
      </c>
      <c r="J13" s="16" t="s">
        <v>9</v>
      </c>
      <c r="K13" s="288"/>
      <c r="L13" s="288"/>
      <c r="M13" s="288"/>
      <c r="N13" s="289"/>
      <c r="O13" s="288"/>
      <c r="P13" s="288"/>
      <c r="Q13" s="288"/>
      <c r="R13" s="294"/>
      <c r="S13" s="290"/>
      <c r="T13" s="290"/>
      <c r="U13" s="16" t="s">
        <v>3</v>
      </c>
      <c r="V13" s="16" t="s">
        <v>4</v>
      </c>
      <c r="W13" s="16" t="s">
        <v>5</v>
      </c>
      <c r="X13" s="16" t="s">
        <v>6</v>
      </c>
      <c r="Y13" s="16" t="s">
        <v>7</v>
      </c>
      <c r="Z13" s="16" t="s">
        <v>8</v>
      </c>
      <c r="AA13" s="16" t="s">
        <v>9</v>
      </c>
      <c r="AB13" s="288"/>
      <c r="AC13" s="288"/>
      <c r="AD13" s="288"/>
      <c r="AE13" s="289"/>
      <c r="AF13" s="288"/>
      <c r="AG13" s="288"/>
      <c r="AH13" s="288"/>
    </row>
    <row r="14" spans="1:34" ht="14.4" customHeight="1" x14ac:dyDescent="0.3">
      <c r="A14" s="292"/>
      <c r="B14" s="10" t="str">
        <f>'List of Courses'!B4</f>
        <v>EGL111</v>
      </c>
      <c r="C14" s="10" t="str">
        <f>'List of Courses'!C4</f>
        <v>English I</v>
      </c>
      <c r="D14" s="10">
        <f>'List of Courses'!D4</f>
        <v>0</v>
      </c>
      <c r="E14" s="10">
        <f>'List of Courses'!E4</f>
        <v>0</v>
      </c>
      <c r="F14" s="10">
        <f>'List of Courses'!F4</f>
        <v>0</v>
      </c>
      <c r="G14" s="10">
        <f>'List of Courses'!G4</f>
        <v>0</v>
      </c>
      <c r="H14" s="10">
        <f>'List of Courses'!H4</f>
        <v>0</v>
      </c>
      <c r="I14" s="10">
        <f>'List of Courses'!I4</f>
        <v>0</v>
      </c>
      <c r="J14" s="10">
        <f>'List of Courses'!J4</f>
        <v>0</v>
      </c>
      <c r="K14" s="10" t="str">
        <f>'List of Courses'!K4</f>
        <v>--</v>
      </c>
      <c r="L14" s="10">
        <f>'List of Courses'!L4</f>
        <v>1</v>
      </c>
      <c r="M14" s="10">
        <f>'List of Courses'!M4</f>
        <v>0</v>
      </c>
      <c r="N14" s="10">
        <f>'List of Courses'!N4</f>
        <v>0</v>
      </c>
      <c r="O14" s="10">
        <f>'List of Courses'!O4</f>
        <v>0</v>
      </c>
      <c r="P14" s="10">
        <f>'List of Courses'!P4</f>
        <v>0</v>
      </c>
      <c r="Q14" s="10">
        <f>'List of Courses'!Q4</f>
        <v>0</v>
      </c>
      <c r="R14" s="294"/>
      <c r="S14" s="10" t="str">
        <f>'List of Courses'!B5</f>
        <v>EGL112</v>
      </c>
      <c r="T14" s="10" t="str">
        <f>'List of Courses'!C5</f>
        <v>English II</v>
      </c>
      <c r="U14" s="10">
        <f>'List of Courses'!D5</f>
        <v>0</v>
      </c>
      <c r="V14" s="10">
        <f>'List of Courses'!E5</f>
        <v>0</v>
      </c>
      <c r="W14" s="10">
        <f>'List of Courses'!F5</f>
        <v>0</v>
      </c>
      <c r="X14" s="10">
        <f>'List of Courses'!G5</f>
        <v>0</v>
      </c>
      <c r="Y14" s="10">
        <f>'List of Courses'!H5</f>
        <v>0</v>
      </c>
      <c r="Z14" s="10">
        <f>'List of Courses'!I5</f>
        <v>0</v>
      </c>
      <c r="AA14" s="10">
        <f>'List of Courses'!J5</f>
        <v>0</v>
      </c>
      <c r="AB14" s="10" t="str">
        <f>'List of Courses'!K5</f>
        <v>EGL111</v>
      </c>
      <c r="AC14" s="10">
        <f>'List of Courses'!L5</f>
        <v>1</v>
      </c>
      <c r="AD14" s="10">
        <f>'List of Courses'!M5</f>
        <v>0</v>
      </c>
      <c r="AE14" s="10">
        <f>'List of Courses'!N5</f>
        <v>0</v>
      </c>
      <c r="AF14" s="10">
        <f>'List of Courses'!O5</f>
        <v>0</v>
      </c>
      <c r="AG14" s="10">
        <f>'List of Courses'!P5</f>
        <v>0</v>
      </c>
      <c r="AH14" s="10">
        <f>'List of Courses'!Q5</f>
        <v>0</v>
      </c>
    </row>
    <row r="15" spans="1:34" x14ac:dyDescent="0.3">
      <c r="A15" s="292"/>
      <c r="B15" s="10" t="str">
        <f>'List of Courses'!B8</f>
        <v>CSC111</v>
      </c>
      <c r="C15" s="10" t="str">
        <f>'List of Courses'!C8</f>
        <v>Computer and Information Skills</v>
      </c>
      <c r="D15" s="10">
        <f>'List of Courses'!D8</f>
        <v>3</v>
      </c>
      <c r="E15" s="10">
        <f>'List of Courses'!E8</f>
        <v>5</v>
      </c>
      <c r="F15" s="10">
        <f>'List of Courses'!F8</f>
        <v>125</v>
      </c>
      <c r="G15" s="10">
        <f>'List of Courses'!G8</f>
        <v>1</v>
      </c>
      <c r="H15" s="10">
        <f>'List of Courses'!H8</f>
        <v>2</v>
      </c>
      <c r="I15" s="10">
        <f>'List of Courses'!I8</f>
        <v>2</v>
      </c>
      <c r="J15" s="10">
        <f>'List of Courses'!J8</f>
        <v>5</v>
      </c>
      <c r="K15" s="10" t="str">
        <f>'List of Courses'!K8</f>
        <v>--</v>
      </c>
      <c r="L15" s="10">
        <f>'List of Courses'!L8</f>
        <v>1</v>
      </c>
      <c r="M15" s="10">
        <f>'List of Courses'!M8</f>
        <v>0</v>
      </c>
      <c r="N15" s="10">
        <f>'List of Courses'!N8</f>
        <v>0</v>
      </c>
      <c r="O15" s="10">
        <f>'List of Courses'!O8</f>
        <v>0</v>
      </c>
      <c r="P15" s="10">
        <f>'List of Courses'!P8</f>
        <v>0</v>
      </c>
      <c r="Q15" s="10">
        <f>'List of Courses'!Q8</f>
        <v>0</v>
      </c>
      <c r="R15" s="294"/>
      <c r="S15" s="10" t="str">
        <f>'List of Courses'!B9</f>
        <v>HUM E1</v>
      </c>
      <c r="T15" s="10" t="str">
        <f>'List of Courses'!C9</f>
        <v>Humanities and Social Sciences Electives</v>
      </c>
      <c r="U15" s="10">
        <f>'List of Courses'!D9</f>
        <v>3</v>
      </c>
      <c r="V15" s="10">
        <f>'List of Courses'!E9</f>
        <v>5</v>
      </c>
      <c r="W15" s="10">
        <f>'List of Courses'!F9</f>
        <v>125</v>
      </c>
      <c r="X15" s="10">
        <f>'List of Courses'!G9</f>
        <v>3</v>
      </c>
      <c r="Y15" s="10">
        <f>'List of Courses'!H9</f>
        <v>0</v>
      </c>
      <c r="Z15" s="10">
        <f>'List of Courses'!I9</f>
        <v>0</v>
      </c>
      <c r="AA15" s="10">
        <f>'List of Courses'!J9</f>
        <v>3</v>
      </c>
      <c r="AB15" s="10" t="str">
        <f>'List of Courses'!K9</f>
        <v>--</v>
      </c>
      <c r="AC15" s="10">
        <f>'List of Courses'!L9</f>
        <v>1</v>
      </c>
      <c r="AD15" s="10">
        <f>'List of Courses'!M9</f>
        <v>0</v>
      </c>
      <c r="AE15" s="10">
        <f>'List of Courses'!N9</f>
        <v>0</v>
      </c>
      <c r="AF15" s="10">
        <f>'List of Courses'!O9</f>
        <v>0</v>
      </c>
      <c r="AG15" s="10">
        <f>'List of Courses'!P9</f>
        <v>0</v>
      </c>
      <c r="AH15" s="57">
        <f>'List of Courses'!Q9</f>
        <v>1</v>
      </c>
    </row>
    <row r="16" spans="1:34" x14ac:dyDescent="0.3">
      <c r="A16" s="292"/>
      <c r="B16" s="34" t="str">
        <f>'List of Courses'!B10</f>
        <v>MTH111</v>
      </c>
      <c r="C16" s="34" t="str">
        <f>'List of Courses'!C10</f>
        <v>Analytical Geometry and Calculus I</v>
      </c>
      <c r="D16" s="34">
        <f>'List of Courses'!D10</f>
        <v>3</v>
      </c>
      <c r="E16" s="34">
        <f>'List of Courses'!E10</f>
        <v>5</v>
      </c>
      <c r="F16" s="34">
        <f>'List of Courses'!F10</f>
        <v>125</v>
      </c>
      <c r="G16" s="34">
        <f>'List of Courses'!G10</f>
        <v>2</v>
      </c>
      <c r="H16" s="34">
        <f>'List of Courses'!H10</f>
        <v>2</v>
      </c>
      <c r="I16" s="34">
        <f>'List of Courses'!I10</f>
        <v>0</v>
      </c>
      <c r="J16" s="34">
        <f>'List of Courses'!J10</f>
        <v>4</v>
      </c>
      <c r="K16" s="34" t="str">
        <f>'List of Courses'!K10</f>
        <v>--</v>
      </c>
      <c r="L16" s="34">
        <f>'List of Courses'!L10</f>
        <v>0</v>
      </c>
      <c r="M16" s="34">
        <f>'List of Courses'!M10</f>
        <v>1</v>
      </c>
      <c r="N16" s="4">
        <f>'List of Courses'!N10</f>
        <v>1</v>
      </c>
      <c r="O16" s="34">
        <f>'List of Courses'!O10</f>
        <v>0</v>
      </c>
      <c r="P16" s="34">
        <f>'List of Courses'!P10</f>
        <v>0</v>
      </c>
      <c r="Q16" s="34">
        <f>'List of Courses'!Q10</f>
        <v>0</v>
      </c>
      <c r="R16" s="294"/>
      <c r="S16" s="53" t="str">
        <f>'List of Courses'!B11</f>
        <v>MTH112</v>
      </c>
      <c r="T16" s="53" t="str">
        <f>'List of Courses'!C11</f>
        <v>Calculus II</v>
      </c>
      <c r="U16" s="53">
        <f>'List of Courses'!D11</f>
        <v>3</v>
      </c>
      <c r="V16" s="53">
        <f>'List of Courses'!E11</f>
        <v>5</v>
      </c>
      <c r="W16" s="53">
        <f>'List of Courses'!F11</f>
        <v>125</v>
      </c>
      <c r="X16" s="53">
        <f>'List of Courses'!G11</f>
        <v>2</v>
      </c>
      <c r="Y16" s="53">
        <f>'List of Courses'!H11</f>
        <v>2</v>
      </c>
      <c r="Z16" s="53">
        <f>'List of Courses'!I11</f>
        <v>0</v>
      </c>
      <c r="AA16" s="53">
        <f>'List of Courses'!J11</f>
        <v>4</v>
      </c>
      <c r="AB16" s="53" t="str">
        <f>'List of Courses'!K11</f>
        <v>MTH111 (CO)</v>
      </c>
      <c r="AC16" s="53">
        <f>'List of Courses'!L11</f>
        <v>0</v>
      </c>
      <c r="AD16" s="53">
        <f>'List of Courses'!M11</f>
        <v>0</v>
      </c>
      <c r="AE16" s="4">
        <f>'List of Courses'!N11</f>
        <v>1</v>
      </c>
      <c r="AF16" s="53">
        <f>'List of Courses'!O11</f>
        <v>1</v>
      </c>
      <c r="AG16" s="53">
        <f>'List of Courses'!P11</f>
        <v>0</v>
      </c>
      <c r="AH16" s="53">
        <f>'List of Courses'!Q11</f>
        <v>0</v>
      </c>
    </row>
    <row r="17" spans="1:34" x14ac:dyDescent="0.3">
      <c r="A17" s="292"/>
      <c r="B17" s="34" t="str">
        <f>'List of Courses'!B20</f>
        <v>PHY111</v>
      </c>
      <c r="C17" s="34" t="str">
        <f>'List of Courses'!C20</f>
        <v>Physics I</v>
      </c>
      <c r="D17" s="34">
        <f>'List of Courses'!D20</f>
        <v>3</v>
      </c>
      <c r="E17" s="34">
        <f>'List of Courses'!E20</f>
        <v>5</v>
      </c>
      <c r="F17" s="34">
        <f>'List of Courses'!F20</f>
        <v>125</v>
      </c>
      <c r="G17" s="34">
        <f>'List of Courses'!G20</f>
        <v>2</v>
      </c>
      <c r="H17" s="34">
        <f>'List of Courses'!H20</f>
        <v>2</v>
      </c>
      <c r="I17" s="34">
        <f>'List of Courses'!I20</f>
        <v>1</v>
      </c>
      <c r="J17" s="34">
        <f>'List of Courses'!J20</f>
        <v>5</v>
      </c>
      <c r="K17" s="34" t="str">
        <f>'List of Courses'!K20</f>
        <v>--</v>
      </c>
      <c r="L17" s="34">
        <f>'List of Courses'!L20</f>
        <v>0</v>
      </c>
      <c r="M17" s="34">
        <f>'List of Courses'!M20</f>
        <v>1</v>
      </c>
      <c r="N17" s="4">
        <f>'List of Courses'!N20</f>
        <v>1</v>
      </c>
      <c r="O17" s="34">
        <f>'List of Courses'!O20</f>
        <v>0</v>
      </c>
      <c r="P17" s="34">
        <f>'List of Courses'!P20</f>
        <v>0</v>
      </c>
      <c r="Q17" s="34">
        <f>'List of Courses'!Q20</f>
        <v>0</v>
      </c>
      <c r="R17" s="294"/>
      <c r="S17" s="34" t="str">
        <f>'List of Courses'!B12</f>
        <v>MTH113</v>
      </c>
      <c r="T17" s="34" t="str">
        <f>'List of Courses'!C12</f>
        <v>Probability and Statistics</v>
      </c>
      <c r="U17" s="34">
        <f>'List of Courses'!D12</f>
        <v>3</v>
      </c>
      <c r="V17" s="34">
        <f>'List of Courses'!E12</f>
        <v>5</v>
      </c>
      <c r="W17" s="34">
        <f>'List of Courses'!F12</f>
        <v>125</v>
      </c>
      <c r="X17" s="34">
        <f>'List of Courses'!G12</f>
        <v>2</v>
      </c>
      <c r="Y17" s="34">
        <f>'List of Courses'!H12</f>
        <v>2</v>
      </c>
      <c r="Z17" s="34">
        <f>'List of Courses'!I12</f>
        <v>0</v>
      </c>
      <c r="AA17" s="34">
        <f>'List of Courses'!J12</f>
        <v>4</v>
      </c>
      <c r="AB17" s="34" t="str">
        <f>'List of Courses'!K12</f>
        <v>--</v>
      </c>
      <c r="AC17" s="34">
        <f>'List of Courses'!L12</f>
        <v>0</v>
      </c>
      <c r="AD17" s="34">
        <f>'List of Courses'!M12</f>
        <v>1</v>
      </c>
      <c r="AE17" s="4">
        <f>'List of Courses'!N12</f>
        <v>1</v>
      </c>
      <c r="AF17" s="34">
        <f>'List of Courses'!O12</f>
        <v>0</v>
      </c>
      <c r="AG17" s="34">
        <f>'List of Courses'!P12</f>
        <v>0</v>
      </c>
      <c r="AH17" s="34">
        <f>'List of Courses'!Q12</f>
        <v>0</v>
      </c>
    </row>
    <row r="18" spans="1:34" x14ac:dyDescent="0.3">
      <c r="A18" s="292"/>
      <c r="B18" s="34" t="str">
        <f>'List of Courses'!B23</f>
        <v>MEC111</v>
      </c>
      <c r="C18" s="34" t="str">
        <f>'List of Courses'!C23</f>
        <v>Engineering Mechanics I - Statics</v>
      </c>
      <c r="D18" s="34">
        <f>'List of Courses'!D23</f>
        <v>3</v>
      </c>
      <c r="E18" s="34">
        <f>'List of Courses'!E23</f>
        <v>5</v>
      </c>
      <c r="F18" s="34">
        <f>'List of Courses'!F23</f>
        <v>125</v>
      </c>
      <c r="G18" s="34">
        <f>'List of Courses'!G23</f>
        <v>2</v>
      </c>
      <c r="H18" s="34">
        <f>'List of Courses'!H23</f>
        <v>2</v>
      </c>
      <c r="I18" s="34">
        <f>'List of Courses'!I23</f>
        <v>0</v>
      </c>
      <c r="J18" s="34">
        <f>'List of Courses'!J23</f>
        <v>4</v>
      </c>
      <c r="K18" s="34" t="str">
        <f>'List of Courses'!K23</f>
        <v>--</v>
      </c>
      <c r="L18" s="34">
        <f>'List of Courses'!L23</f>
        <v>0</v>
      </c>
      <c r="M18" s="34">
        <f>'List of Courses'!M23</f>
        <v>1</v>
      </c>
      <c r="N18" s="4">
        <f>'List of Courses'!N23</f>
        <v>1</v>
      </c>
      <c r="O18" s="34">
        <f>'List of Courses'!O23</f>
        <v>0</v>
      </c>
      <c r="P18" s="34">
        <f>'List of Courses'!P23</f>
        <v>0</v>
      </c>
      <c r="Q18" s="34">
        <f>'List of Courses'!Q23</f>
        <v>0</v>
      </c>
      <c r="R18" s="294"/>
      <c r="S18" s="53" t="str">
        <f>'List of Courses'!B22</f>
        <v>CHM111</v>
      </c>
      <c r="T18" s="53" t="str">
        <f>'List of Courses'!C22</f>
        <v>Chemistry Principles</v>
      </c>
      <c r="U18" s="53">
        <f>'List of Courses'!D22</f>
        <v>3</v>
      </c>
      <c r="V18" s="53">
        <f>'List of Courses'!E22</f>
        <v>5</v>
      </c>
      <c r="W18" s="53">
        <f>'List of Courses'!F22</f>
        <v>125</v>
      </c>
      <c r="X18" s="53">
        <f>'List of Courses'!G22</f>
        <v>2</v>
      </c>
      <c r="Y18" s="53">
        <f>'List of Courses'!H22</f>
        <v>1</v>
      </c>
      <c r="Z18" s="53">
        <f>'List of Courses'!I22</f>
        <v>1</v>
      </c>
      <c r="AA18" s="53">
        <f>'List of Courses'!J22</f>
        <v>4</v>
      </c>
      <c r="AB18" s="53" t="str">
        <f>'List of Courses'!K22</f>
        <v>--</v>
      </c>
      <c r="AC18" s="53">
        <f>'List of Courses'!L22</f>
        <v>0</v>
      </c>
      <c r="AD18" s="53">
        <f>'List of Courses'!M22</f>
        <v>0</v>
      </c>
      <c r="AE18" s="4">
        <f>'List of Courses'!N22</f>
        <v>1</v>
      </c>
      <c r="AF18" s="53">
        <f>'List of Courses'!O22</f>
        <v>1</v>
      </c>
      <c r="AG18" s="53">
        <f>'List of Courses'!P22</f>
        <v>0</v>
      </c>
      <c r="AH18" s="53">
        <f>'List of Courses'!Q22</f>
        <v>0</v>
      </c>
    </row>
    <row r="19" spans="1:34" x14ac:dyDescent="0.3">
      <c r="A19" s="292"/>
      <c r="B19" s="34" t="str">
        <f>'List of Courses'!B25</f>
        <v>INT121</v>
      </c>
      <c r="C19" s="34" t="str">
        <f>'List of Courses'!C25</f>
        <v>Engineering Drawing</v>
      </c>
      <c r="D19" s="34">
        <f>'List of Courses'!D25</f>
        <v>3</v>
      </c>
      <c r="E19" s="34">
        <f>'List of Courses'!E25</f>
        <v>5</v>
      </c>
      <c r="F19" s="34">
        <f>'List of Courses'!F25</f>
        <v>125</v>
      </c>
      <c r="G19" s="34">
        <f>'List of Courses'!G25</f>
        <v>2</v>
      </c>
      <c r="H19" s="34">
        <f>'List of Courses'!H25</f>
        <v>0</v>
      </c>
      <c r="I19" s="34">
        <f>'List of Courses'!I25</f>
        <v>2</v>
      </c>
      <c r="J19" s="34">
        <f>'List of Courses'!J25</f>
        <v>4</v>
      </c>
      <c r="K19" s="34" t="str">
        <f>'List of Courses'!K25</f>
        <v>--</v>
      </c>
      <c r="L19" s="34">
        <f>'List of Courses'!L25</f>
        <v>0</v>
      </c>
      <c r="M19" s="34">
        <f>'List of Courses'!M25</f>
        <v>1</v>
      </c>
      <c r="N19" s="34">
        <f>'List of Courses'!N25</f>
        <v>0</v>
      </c>
      <c r="O19" s="34">
        <f>'List of Courses'!O25</f>
        <v>0</v>
      </c>
      <c r="P19" s="34">
        <f>'List of Courses'!P25</f>
        <v>0</v>
      </c>
      <c r="Q19" s="34">
        <f>'List of Courses'!Q25</f>
        <v>0</v>
      </c>
      <c r="R19" s="294"/>
      <c r="S19" s="34" t="str">
        <f>'List of Courses'!B29</f>
        <v>ECE151</v>
      </c>
      <c r="T19" s="34" t="str">
        <f>'List of Courses'!C29</f>
        <v xml:space="preserve">Introduction to Programming </v>
      </c>
      <c r="U19" s="34">
        <f>'List of Courses'!D29</f>
        <v>3</v>
      </c>
      <c r="V19" s="34">
        <f>'List of Courses'!E29</f>
        <v>5</v>
      </c>
      <c r="W19" s="34">
        <f>'List of Courses'!F29</f>
        <v>125</v>
      </c>
      <c r="X19" s="34">
        <f>'List of Courses'!G29</f>
        <v>2</v>
      </c>
      <c r="Y19" s="34">
        <f>'List of Courses'!H29</f>
        <v>0</v>
      </c>
      <c r="Z19" s="34">
        <f>'List of Courses'!I29</f>
        <v>2</v>
      </c>
      <c r="AA19" s="34">
        <f>'List of Courses'!J29</f>
        <v>4</v>
      </c>
      <c r="AB19" s="34" t="str">
        <f>'List of Courses'!K29</f>
        <v>--</v>
      </c>
      <c r="AC19" s="34">
        <f>'List of Courses'!L29</f>
        <v>0</v>
      </c>
      <c r="AD19" s="34">
        <f>'List of Courses'!M29</f>
        <v>1</v>
      </c>
      <c r="AE19" s="34">
        <f>'List of Courses'!N29</f>
        <v>0</v>
      </c>
      <c r="AF19" s="34">
        <f>'List of Courses'!O29</f>
        <v>0</v>
      </c>
      <c r="AG19" s="34">
        <f>'List of Courses'!P29</f>
        <v>0</v>
      </c>
      <c r="AH19" s="34">
        <f>'List of Courses'!Q29</f>
        <v>0</v>
      </c>
    </row>
    <row r="20" spans="1:34" x14ac:dyDescent="0.3">
      <c r="A20" s="292"/>
      <c r="B20" s="34" t="str">
        <f>'List of Courses'!B26</f>
        <v>INT E1</v>
      </c>
      <c r="C20" s="34" t="str">
        <f>'List of Courses'!C26</f>
        <v>Engineering History Electives</v>
      </c>
      <c r="D20" s="34">
        <f>'List of Courses'!D26</f>
        <v>3</v>
      </c>
      <c r="E20" s="34">
        <f>'List of Courses'!E26</f>
        <v>5</v>
      </c>
      <c r="F20" s="34">
        <f>'List of Courses'!F26</f>
        <v>125</v>
      </c>
      <c r="G20" s="34">
        <f>'List of Courses'!G26</f>
        <v>2</v>
      </c>
      <c r="H20" s="34">
        <f>'List of Courses'!H26</f>
        <v>2</v>
      </c>
      <c r="I20" s="34">
        <f>'List of Courses'!I26</f>
        <v>0</v>
      </c>
      <c r="J20" s="34">
        <f>'List of Courses'!J26</f>
        <v>4</v>
      </c>
      <c r="K20" s="34" t="str">
        <f>'List of Courses'!K26</f>
        <v>--</v>
      </c>
      <c r="L20" s="34">
        <f>'List of Courses'!L26</f>
        <v>0</v>
      </c>
      <c r="M20" s="34">
        <f>'List of Courses'!M26</f>
        <v>1</v>
      </c>
      <c r="N20" s="34">
        <f>'List of Courses'!N26</f>
        <v>0</v>
      </c>
      <c r="O20" s="34">
        <f>'List of Courses'!O26</f>
        <v>0</v>
      </c>
      <c r="P20" s="34">
        <f>'List of Courses'!P26</f>
        <v>0</v>
      </c>
      <c r="Q20" s="57">
        <f>'List of Courses'!Q26</f>
        <v>1</v>
      </c>
      <c r="R20" s="294"/>
      <c r="S20" s="53" t="str">
        <f>'List of Courses'!B30</f>
        <v>CVL211</v>
      </c>
      <c r="T20" s="53" t="str">
        <f>'List of Courses'!C30</f>
        <v>Structural Analysis-1</v>
      </c>
      <c r="U20" s="53">
        <f>'List of Courses'!D30</f>
        <v>3</v>
      </c>
      <c r="V20" s="53">
        <f>'List of Courses'!E30</f>
        <v>5</v>
      </c>
      <c r="W20" s="53">
        <f>'List of Courses'!F30</f>
        <v>125</v>
      </c>
      <c r="X20" s="53">
        <f>'List of Courses'!G30</f>
        <v>2</v>
      </c>
      <c r="Y20" s="53">
        <f>'List of Courses'!H30</f>
        <v>2</v>
      </c>
      <c r="Z20" s="53">
        <f>'List of Courses'!I30</f>
        <v>0</v>
      </c>
      <c r="AA20" s="53">
        <f>'List of Courses'!J30</f>
        <v>4</v>
      </c>
      <c r="AB20" s="53" t="str">
        <f>'List of Courses'!K30</f>
        <v>MEC111</v>
      </c>
      <c r="AC20" s="53">
        <f>'List of Courses'!L30</f>
        <v>0</v>
      </c>
      <c r="AD20" s="53">
        <f>'List of Courses'!M30</f>
        <v>0</v>
      </c>
      <c r="AE20" s="53">
        <f>'List of Courses'!N30</f>
        <v>0</v>
      </c>
      <c r="AF20" s="53">
        <f>'List of Courses'!O30</f>
        <v>1</v>
      </c>
      <c r="AG20" s="53">
        <f>'List of Courses'!P30</f>
        <v>0</v>
      </c>
      <c r="AH20" s="53">
        <f>'List of Courses'!Q30</f>
        <v>0</v>
      </c>
    </row>
    <row r="21" spans="1:34" x14ac:dyDescent="0.3">
      <c r="A21" s="292"/>
      <c r="B21" s="34"/>
      <c r="C21" s="34"/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295"/>
      <c r="S21" s="53" t="str">
        <f>'List of Courses'!B33</f>
        <v>CVL231</v>
      </c>
      <c r="T21" s="53" t="str">
        <f>'List of Courses'!C33</f>
        <v>Construction Project Management</v>
      </c>
      <c r="U21" s="53">
        <f>'List of Courses'!D33</f>
        <v>3</v>
      </c>
      <c r="V21" s="53">
        <f>'List of Courses'!E33</f>
        <v>5</v>
      </c>
      <c r="W21" s="53">
        <f>'List of Courses'!F33</f>
        <v>125</v>
      </c>
      <c r="X21" s="53">
        <f>'List of Courses'!G33</f>
        <v>2</v>
      </c>
      <c r="Y21" s="53">
        <f>'List of Courses'!H33</f>
        <v>2</v>
      </c>
      <c r="Z21" s="53">
        <f>'List of Courses'!I33</f>
        <v>0</v>
      </c>
      <c r="AA21" s="53">
        <f>'List of Courses'!J33</f>
        <v>4</v>
      </c>
      <c r="AB21" s="53" t="str">
        <f>'List of Courses'!K33</f>
        <v>--</v>
      </c>
      <c r="AC21" s="53">
        <f>'List of Courses'!L33</f>
        <v>0</v>
      </c>
      <c r="AD21" s="53">
        <f>'List of Courses'!M33</f>
        <v>0</v>
      </c>
      <c r="AE21" s="53">
        <f>'List of Courses'!N33</f>
        <v>0</v>
      </c>
      <c r="AF21" s="53">
        <f>'List of Courses'!O33</f>
        <v>1</v>
      </c>
      <c r="AG21" s="53">
        <f>'List of Courses'!P33</f>
        <v>0</v>
      </c>
      <c r="AH21" s="53">
        <f>'List of Courses'!Q33</f>
        <v>0</v>
      </c>
    </row>
    <row r="22" spans="1:34" x14ac:dyDescent="0.3">
      <c r="D22" s="41">
        <f t="shared" ref="D22:I22" si="2">SUM(D14:D21)</f>
        <v>18</v>
      </c>
      <c r="E22" s="41">
        <f>SUM(E14:E21)</f>
        <v>30</v>
      </c>
      <c r="F22" s="41">
        <f t="shared" si="2"/>
        <v>750</v>
      </c>
      <c r="G22" s="41">
        <f t="shared" si="2"/>
        <v>11</v>
      </c>
      <c r="H22" s="41">
        <f t="shared" si="2"/>
        <v>10</v>
      </c>
      <c r="I22" s="41">
        <f t="shared" si="2"/>
        <v>5</v>
      </c>
      <c r="J22" s="41">
        <f>SUM(J14:J21)</f>
        <v>26</v>
      </c>
      <c r="U22" s="41">
        <f t="shared" ref="U22:AA22" si="3">SUM(U14:U21)</f>
        <v>21</v>
      </c>
      <c r="V22" s="41">
        <f t="shared" si="3"/>
        <v>35</v>
      </c>
      <c r="W22" s="41">
        <f t="shared" si="3"/>
        <v>875</v>
      </c>
      <c r="X22" s="41">
        <f t="shared" si="3"/>
        <v>15</v>
      </c>
      <c r="Y22" s="41">
        <f t="shared" si="3"/>
        <v>9</v>
      </c>
      <c r="Z22" s="41">
        <f t="shared" si="3"/>
        <v>3</v>
      </c>
      <c r="AA22" s="41">
        <f t="shared" si="3"/>
        <v>27</v>
      </c>
    </row>
    <row r="23" spans="1:34" ht="14.4" customHeight="1" x14ac:dyDescent="0.3">
      <c r="L23" s="1"/>
      <c r="M23" s="1"/>
      <c r="N23" s="1"/>
      <c r="O23" s="1"/>
      <c r="P23" s="1"/>
      <c r="Q23" s="1"/>
    </row>
    <row r="24" spans="1:34" ht="14.4" customHeight="1" x14ac:dyDescent="0.3">
      <c r="A24" s="292" t="s">
        <v>33</v>
      </c>
      <c r="B24" s="290" t="s">
        <v>17</v>
      </c>
      <c r="C24" s="290" t="s">
        <v>18</v>
      </c>
      <c r="D24" s="290" t="s">
        <v>1</v>
      </c>
      <c r="E24" s="290"/>
      <c r="F24" s="290"/>
      <c r="G24" s="290" t="s">
        <v>2</v>
      </c>
      <c r="H24" s="290"/>
      <c r="I24" s="290"/>
      <c r="J24" s="290"/>
      <c r="K24" s="288" t="s">
        <v>19</v>
      </c>
      <c r="L24" s="288" t="s">
        <v>20</v>
      </c>
      <c r="M24" s="288" t="s">
        <v>21</v>
      </c>
      <c r="N24" s="289" t="s">
        <v>111</v>
      </c>
      <c r="O24" s="288" t="s">
        <v>22</v>
      </c>
      <c r="P24" s="288" t="s">
        <v>98</v>
      </c>
      <c r="Q24" s="288" t="s">
        <v>89</v>
      </c>
      <c r="R24" s="293" t="s">
        <v>34</v>
      </c>
      <c r="S24" s="290" t="s">
        <v>17</v>
      </c>
      <c r="T24" s="290" t="s">
        <v>18</v>
      </c>
      <c r="U24" s="290" t="s">
        <v>1</v>
      </c>
      <c r="V24" s="290"/>
      <c r="W24" s="290"/>
      <c r="X24" s="290" t="s">
        <v>2</v>
      </c>
      <c r="Y24" s="290"/>
      <c r="Z24" s="290"/>
      <c r="AA24" s="290"/>
      <c r="AB24" s="288" t="s">
        <v>19</v>
      </c>
      <c r="AC24" s="288" t="s">
        <v>20</v>
      </c>
      <c r="AD24" s="288" t="s">
        <v>21</v>
      </c>
      <c r="AE24" s="289" t="s">
        <v>111</v>
      </c>
      <c r="AF24" s="288" t="s">
        <v>22</v>
      </c>
      <c r="AG24" s="288" t="s">
        <v>98</v>
      </c>
      <c r="AH24" s="288" t="s">
        <v>89</v>
      </c>
    </row>
    <row r="25" spans="1:34" x14ac:dyDescent="0.3">
      <c r="A25" s="292"/>
      <c r="B25" s="290"/>
      <c r="C25" s="290"/>
      <c r="D25" s="16" t="s">
        <v>3</v>
      </c>
      <c r="E25" s="16" t="s">
        <v>4</v>
      </c>
      <c r="F25" s="16" t="s">
        <v>5</v>
      </c>
      <c r="G25" s="16" t="s">
        <v>6</v>
      </c>
      <c r="H25" s="16" t="s">
        <v>7</v>
      </c>
      <c r="I25" s="16" t="s">
        <v>8</v>
      </c>
      <c r="J25" s="16" t="s">
        <v>9</v>
      </c>
      <c r="K25" s="288"/>
      <c r="L25" s="288"/>
      <c r="M25" s="288"/>
      <c r="N25" s="289"/>
      <c r="O25" s="288"/>
      <c r="P25" s="288"/>
      <c r="Q25" s="288"/>
      <c r="R25" s="294"/>
      <c r="S25" s="290"/>
      <c r="T25" s="290"/>
      <c r="U25" s="16" t="s">
        <v>3</v>
      </c>
      <c r="V25" s="16" t="s">
        <v>4</v>
      </c>
      <c r="W25" s="16" t="s">
        <v>5</v>
      </c>
      <c r="X25" s="16" t="s">
        <v>6</v>
      </c>
      <c r="Y25" s="16" t="s">
        <v>7</v>
      </c>
      <c r="Z25" s="16" t="s">
        <v>8</v>
      </c>
      <c r="AA25" s="16" t="s">
        <v>9</v>
      </c>
      <c r="AB25" s="288"/>
      <c r="AC25" s="288"/>
      <c r="AD25" s="288"/>
      <c r="AE25" s="289"/>
      <c r="AF25" s="288"/>
      <c r="AG25" s="288"/>
      <c r="AH25" s="288"/>
    </row>
    <row r="26" spans="1:34" ht="14.4" customHeight="1" x14ac:dyDescent="0.3">
      <c r="A26" s="292"/>
      <c r="B26" s="10" t="str">
        <f>'List of Courses'!B6</f>
        <v>EGL213</v>
      </c>
      <c r="C26" s="10" t="str">
        <f>'List of Courses'!C6</f>
        <v>Writing Skills</v>
      </c>
      <c r="D26" s="10">
        <f>'List of Courses'!D6</f>
        <v>3</v>
      </c>
      <c r="E26" s="10">
        <f>'List of Courses'!E6</f>
        <v>5</v>
      </c>
      <c r="F26" s="10">
        <f>'List of Courses'!F6</f>
        <v>125</v>
      </c>
      <c r="G26" s="10">
        <f>'List of Courses'!G6</f>
        <v>3</v>
      </c>
      <c r="H26" s="10">
        <f>'List of Courses'!H6</f>
        <v>0</v>
      </c>
      <c r="I26" s="10">
        <f>'List of Courses'!I6</f>
        <v>0</v>
      </c>
      <c r="J26" s="10">
        <f>'List of Courses'!J6</f>
        <v>3</v>
      </c>
      <c r="K26" s="10" t="str">
        <f>'List of Courses'!K6</f>
        <v>EGL112</v>
      </c>
      <c r="L26" s="10">
        <f>'List of Courses'!L6</f>
        <v>1</v>
      </c>
      <c r="M26" s="10">
        <f>'List of Courses'!M6</f>
        <v>0</v>
      </c>
      <c r="N26" s="10">
        <f>'List of Courses'!N6</f>
        <v>0</v>
      </c>
      <c r="O26" s="10">
        <f>'List of Courses'!O6</f>
        <v>0</v>
      </c>
      <c r="P26" s="10">
        <f>'List of Courses'!P6</f>
        <v>0</v>
      </c>
      <c r="Q26" s="10">
        <f>'List of Courses'!Q6</f>
        <v>0</v>
      </c>
      <c r="R26" s="294"/>
      <c r="S26" s="10" t="str">
        <f>'List of Courses'!B7</f>
        <v>EGL214</v>
      </c>
      <c r="T26" s="10" t="str">
        <f>'List of Courses'!C7</f>
        <v>Communication and Presentation Skills</v>
      </c>
      <c r="U26" s="10">
        <f>'List of Courses'!D7</f>
        <v>3</v>
      </c>
      <c r="V26" s="10">
        <f>'List of Courses'!E7</f>
        <v>5</v>
      </c>
      <c r="W26" s="10">
        <f>'List of Courses'!F7</f>
        <v>125</v>
      </c>
      <c r="X26" s="10">
        <f>'List of Courses'!G7</f>
        <v>3</v>
      </c>
      <c r="Y26" s="10">
        <f>'List of Courses'!H7</f>
        <v>0</v>
      </c>
      <c r="Z26" s="10">
        <f>'List of Courses'!I7</f>
        <v>0</v>
      </c>
      <c r="AA26" s="10">
        <f>'List of Courses'!J7</f>
        <v>3</v>
      </c>
      <c r="AB26" s="10" t="str">
        <f>'List of Courses'!K7</f>
        <v>EGL112</v>
      </c>
      <c r="AC26" s="10">
        <f>'List of Courses'!L7</f>
        <v>1</v>
      </c>
      <c r="AD26" s="10">
        <f>'List of Courses'!M7</f>
        <v>0</v>
      </c>
      <c r="AE26" s="10">
        <f>'List of Courses'!N7</f>
        <v>0</v>
      </c>
      <c r="AF26" s="10">
        <f>'List of Courses'!O7</f>
        <v>0</v>
      </c>
      <c r="AG26" s="10">
        <f>'List of Courses'!P7</f>
        <v>0</v>
      </c>
      <c r="AH26" s="10">
        <f>'List of Courses'!Q7</f>
        <v>0</v>
      </c>
    </row>
    <row r="27" spans="1:34" x14ac:dyDescent="0.3">
      <c r="A27" s="292"/>
      <c r="B27" s="34" t="str">
        <f>'List of Courses'!B13</f>
        <v>MTH214</v>
      </c>
      <c r="C27" s="34" t="str">
        <f>'List of Courses'!C13</f>
        <v xml:space="preserve">Linear Algebra &amp; Introduction to Machine Learning </v>
      </c>
      <c r="D27" s="34">
        <f>'List of Courses'!D13</f>
        <v>3</v>
      </c>
      <c r="E27" s="34">
        <f>'List of Courses'!E13</f>
        <v>5</v>
      </c>
      <c r="F27" s="34">
        <f>'List of Courses'!F13</f>
        <v>125</v>
      </c>
      <c r="G27" s="34">
        <f>'List of Courses'!G13</f>
        <v>2</v>
      </c>
      <c r="H27" s="34">
        <f>'List of Courses'!H13</f>
        <v>2</v>
      </c>
      <c r="I27" s="34">
        <f>'List of Courses'!I13</f>
        <v>0</v>
      </c>
      <c r="J27" s="34">
        <f>'List of Courses'!J13</f>
        <v>4</v>
      </c>
      <c r="K27" s="34" t="str">
        <f>'List of Courses'!K13</f>
        <v>--</v>
      </c>
      <c r="L27" s="34">
        <f>'List of Courses'!L13</f>
        <v>0</v>
      </c>
      <c r="M27" s="34">
        <f>'List of Courses'!M13</f>
        <v>1</v>
      </c>
      <c r="N27" s="4">
        <f>'List of Courses'!N13</f>
        <v>1</v>
      </c>
      <c r="O27" s="34">
        <f>'List of Courses'!O13</f>
        <v>0</v>
      </c>
      <c r="P27" s="34">
        <f>'List of Courses'!P13</f>
        <v>0</v>
      </c>
      <c r="Q27" s="34">
        <f>'List of Courses'!Q13</f>
        <v>0</v>
      </c>
      <c r="R27" s="294"/>
      <c r="S27" s="53" t="str">
        <f>'List of Courses'!B14</f>
        <v>MTH215</v>
      </c>
      <c r="T27" s="53" t="str">
        <f>'List of Courses'!C14</f>
        <v>Differential Equations</v>
      </c>
      <c r="U27" s="53">
        <f>'List of Courses'!D14</f>
        <v>3</v>
      </c>
      <c r="V27" s="53">
        <f>'List of Courses'!E14</f>
        <v>5</v>
      </c>
      <c r="W27" s="53">
        <f>'List of Courses'!F14</f>
        <v>125</v>
      </c>
      <c r="X27" s="53">
        <f>'List of Courses'!G14</f>
        <v>2</v>
      </c>
      <c r="Y27" s="53">
        <f>'List of Courses'!H14</f>
        <v>2</v>
      </c>
      <c r="Z27" s="53">
        <f>'List of Courses'!I14</f>
        <v>0</v>
      </c>
      <c r="AA27" s="53">
        <f>'List of Courses'!J14</f>
        <v>4</v>
      </c>
      <c r="AB27" s="53" t="str">
        <f>'List of Courses'!K14</f>
        <v>MTH112</v>
      </c>
      <c r="AC27" s="53">
        <f>'List of Courses'!L14</f>
        <v>0</v>
      </c>
      <c r="AD27" s="53">
        <f>'List of Courses'!M14</f>
        <v>0</v>
      </c>
      <c r="AE27" s="4">
        <f>'List of Courses'!N14</f>
        <v>1</v>
      </c>
      <c r="AF27" s="53">
        <f>'List of Courses'!O14</f>
        <v>1</v>
      </c>
      <c r="AG27" s="53">
        <f>'List of Courses'!P14</f>
        <v>0</v>
      </c>
      <c r="AH27" s="53">
        <f>'List of Courses'!Q14</f>
        <v>0</v>
      </c>
    </row>
    <row r="28" spans="1:34" x14ac:dyDescent="0.3">
      <c r="A28" s="292"/>
      <c r="B28" s="53" t="str">
        <f>'List of Courses'!B34</f>
        <v>CVL281</v>
      </c>
      <c r="C28" s="53" t="str">
        <f>'List of Courses'!C34</f>
        <v xml:space="preserve">Introduction to Surveying </v>
      </c>
      <c r="D28" s="53">
        <f>'List of Courses'!D34</f>
        <v>3</v>
      </c>
      <c r="E28" s="53">
        <f>'List of Courses'!E34</f>
        <v>5</v>
      </c>
      <c r="F28" s="53">
        <f>'List of Courses'!F34</f>
        <v>125</v>
      </c>
      <c r="G28" s="53">
        <f>'List of Courses'!G34</f>
        <v>1</v>
      </c>
      <c r="H28" s="53">
        <f>'List of Courses'!H34</f>
        <v>2</v>
      </c>
      <c r="I28" s="53">
        <f>'List of Courses'!I34</f>
        <v>2</v>
      </c>
      <c r="J28" s="53">
        <f>'List of Courses'!J34</f>
        <v>5</v>
      </c>
      <c r="K28" s="53" t="str">
        <f>'List of Courses'!K34</f>
        <v>--</v>
      </c>
      <c r="L28" s="53">
        <f>'List of Courses'!L34</f>
        <v>0</v>
      </c>
      <c r="M28" s="53">
        <f>'List of Courses'!M34</f>
        <v>0</v>
      </c>
      <c r="N28" s="53">
        <f>'List of Courses'!N34</f>
        <v>0</v>
      </c>
      <c r="O28" s="53">
        <f>'List of Courses'!O34</f>
        <v>1</v>
      </c>
      <c r="P28" s="53">
        <f>'List of Courses'!P34</f>
        <v>0</v>
      </c>
      <c r="Q28" s="53">
        <f>'List of Courses'!Q34</f>
        <v>0</v>
      </c>
      <c r="R28" s="294"/>
      <c r="S28" s="53" t="str">
        <f>'List of Courses'!B36</f>
        <v>CVL311</v>
      </c>
      <c r="T28" s="53" t="str">
        <f>'List of Courses'!C36</f>
        <v>Reinforced Concrete Design-1</v>
      </c>
      <c r="U28" s="53">
        <f>'List of Courses'!D36</f>
        <v>3</v>
      </c>
      <c r="V28" s="53">
        <f>'List of Courses'!E36</f>
        <v>5</v>
      </c>
      <c r="W28" s="53">
        <f>'List of Courses'!F36</f>
        <v>125</v>
      </c>
      <c r="X28" s="53">
        <f>'List of Courses'!G36</f>
        <v>2</v>
      </c>
      <c r="Y28" s="53">
        <f>'List of Courses'!H36</f>
        <v>2</v>
      </c>
      <c r="Z28" s="53">
        <f>'List of Courses'!I36</f>
        <v>0</v>
      </c>
      <c r="AA28" s="53">
        <f>'List of Courses'!J36</f>
        <v>4</v>
      </c>
      <c r="AB28" s="53" t="str">
        <f>'List of Courses'!K36</f>
        <v>CVL211</v>
      </c>
      <c r="AC28" s="53">
        <f>'List of Courses'!L36</f>
        <v>0</v>
      </c>
      <c r="AD28" s="53">
        <f>'List of Courses'!M36</f>
        <v>0</v>
      </c>
      <c r="AE28" s="53">
        <f>'List of Courses'!N36</f>
        <v>0</v>
      </c>
      <c r="AF28" s="53">
        <f>'List of Courses'!O36</f>
        <v>1</v>
      </c>
      <c r="AG28" s="53">
        <f>'List of Courses'!P36</f>
        <v>0</v>
      </c>
      <c r="AH28" s="53">
        <f>'List of Courses'!Q36</f>
        <v>0</v>
      </c>
    </row>
    <row r="29" spans="1:34" ht="15" customHeight="1" x14ac:dyDescent="0.3">
      <c r="A29" s="292"/>
      <c r="B29" s="53" t="str">
        <f>'List of Courses'!B35</f>
        <v>CVL282</v>
      </c>
      <c r="C29" s="53" t="str">
        <f>'List of Courses'!C35</f>
        <v xml:space="preserve">Civil Engineering Drafting </v>
      </c>
      <c r="D29" s="53">
        <f>'List of Courses'!D35</f>
        <v>3</v>
      </c>
      <c r="E29" s="53">
        <f>'List of Courses'!E35</f>
        <v>5</v>
      </c>
      <c r="F29" s="53">
        <f>'List of Courses'!F35</f>
        <v>125</v>
      </c>
      <c r="G29" s="53">
        <f>'List of Courses'!G35</f>
        <v>1</v>
      </c>
      <c r="H29" s="53">
        <f>'List of Courses'!H35</f>
        <v>2</v>
      </c>
      <c r="I29" s="53">
        <f>'List of Courses'!I35</f>
        <v>2</v>
      </c>
      <c r="J29" s="53">
        <f>'List of Courses'!J35</f>
        <v>5</v>
      </c>
      <c r="K29" s="53" t="str">
        <f>'List of Courses'!K35</f>
        <v>INT121</v>
      </c>
      <c r="L29" s="53">
        <f>'List of Courses'!L35</f>
        <v>0</v>
      </c>
      <c r="M29" s="53">
        <f>'List of Courses'!M35</f>
        <v>0</v>
      </c>
      <c r="N29" s="53">
        <f>'List of Courses'!N35</f>
        <v>0</v>
      </c>
      <c r="O29" s="53">
        <f>'List of Courses'!O35</f>
        <v>1</v>
      </c>
      <c r="P29" s="53">
        <f>'List of Courses'!P35</f>
        <v>0</v>
      </c>
      <c r="Q29" s="53">
        <f>'List of Courses'!Q35</f>
        <v>0</v>
      </c>
      <c r="R29" s="294"/>
      <c r="S29" s="53" t="str">
        <f>'List of Courses'!B40</f>
        <v>CVL315</v>
      </c>
      <c r="T29" s="53" t="str">
        <f>'List of Courses'!C40</f>
        <v>Structural Steel Design</v>
      </c>
      <c r="U29" s="53">
        <f>'List of Courses'!D40</f>
        <v>3</v>
      </c>
      <c r="V29" s="53">
        <f>'List of Courses'!E40</f>
        <v>5</v>
      </c>
      <c r="W29" s="53">
        <f>'List of Courses'!F40</f>
        <v>125</v>
      </c>
      <c r="X29" s="53">
        <f>'List of Courses'!G40</f>
        <v>2</v>
      </c>
      <c r="Y29" s="53">
        <f>'List of Courses'!H40</f>
        <v>2</v>
      </c>
      <c r="Z29" s="53">
        <f>'List of Courses'!I40</f>
        <v>0</v>
      </c>
      <c r="AA29" s="53">
        <f>'List of Courses'!J40</f>
        <v>4</v>
      </c>
      <c r="AB29" s="53" t="str">
        <f>'List of Courses'!K40</f>
        <v>CVL212</v>
      </c>
      <c r="AC29" s="53">
        <f>'List of Courses'!L40</f>
        <v>0</v>
      </c>
      <c r="AD29" s="53">
        <f>'List of Courses'!M40</f>
        <v>0</v>
      </c>
      <c r="AE29" s="53">
        <f>'List of Courses'!N40</f>
        <v>0</v>
      </c>
      <c r="AF29" s="53">
        <f>'List of Courses'!O40</f>
        <v>1</v>
      </c>
      <c r="AG29" s="53">
        <f>'List of Courses'!P40</f>
        <v>0</v>
      </c>
      <c r="AH29" s="53">
        <f>'List of Courses'!Q40</f>
        <v>0</v>
      </c>
    </row>
    <row r="30" spans="1:34" x14ac:dyDescent="0.3">
      <c r="A30" s="292"/>
      <c r="B30" s="53" t="str">
        <f>'List of Courses'!B31</f>
        <v>CVL212</v>
      </c>
      <c r="C30" s="53" t="str">
        <f>'List of Courses'!C31</f>
        <v>Structural Analysis-2</v>
      </c>
      <c r="D30" s="53">
        <f>'List of Courses'!D31</f>
        <v>3</v>
      </c>
      <c r="E30" s="53">
        <f>'List of Courses'!E31</f>
        <v>5</v>
      </c>
      <c r="F30" s="53">
        <f>'List of Courses'!F31</f>
        <v>125</v>
      </c>
      <c r="G30" s="53">
        <f>'List of Courses'!G31</f>
        <v>2</v>
      </c>
      <c r="H30" s="53">
        <f>'List of Courses'!H31</f>
        <v>2</v>
      </c>
      <c r="I30" s="53">
        <f>'List of Courses'!I31</f>
        <v>0</v>
      </c>
      <c r="J30" s="53">
        <f>'List of Courses'!J31</f>
        <v>4</v>
      </c>
      <c r="K30" s="53" t="str">
        <f>'List of Courses'!K31</f>
        <v>CVL211</v>
      </c>
      <c r="L30" s="53">
        <f>'List of Courses'!L31</f>
        <v>0</v>
      </c>
      <c r="M30" s="53">
        <f>'List of Courses'!M31</f>
        <v>0</v>
      </c>
      <c r="N30" s="53">
        <f>'List of Courses'!N31</f>
        <v>0</v>
      </c>
      <c r="O30" s="53">
        <f>'List of Courses'!O31</f>
        <v>1</v>
      </c>
      <c r="P30" s="53">
        <f>'List of Courses'!P31</f>
        <v>0</v>
      </c>
      <c r="Q30" s="53">
        <f>'List of Courses'!Q31</f>
        <v>0</v>
      </c>
      <c r="R30" s="294"/>
      <c r="S30" s="53" t="str">
        <f>'List of Courses'!B41</f>
        <v>CVL321</v>
      </c>
      <c r="T30" s="53" t="str">
        <f>'List of Courses'!C41</f>
        <v>Engineering Materials-2</v>
      </c>
      <c r="U30" s="53">
        <f>'List of Courses'!D41</f>
        <v>3</v>
      </c>
      <c r="V30" s="53">
        <f>'List of Courses'!E41</f>
        <v>5</v>
      </c>
      <c r="W30" s="53">
        <f>'List of Courses'!F41</f>
        <v>125</v>
      </c>
      <c r="X30" s="53">
        <f>'List of Courses'!G41</f>
        <v>2</v>
      </c>
      <c r="Y30" s="53">
        <f>'List of Courses'!H41</f>
        <v>1</v>
      </c>
      <c r="Z30" s="53">
        <f>'List of Courses'!I41</f>
        <v>1</v>
      </c>
      <c r="AA30" s="53">
        <f>'List of Courses'!J41</f>
        <v>4</v>
      </c>
      <c r="AB30" s="53" t="str">
        <f>'List of Courses'!K41</f>
        <v>CVL221</v>
      </c>
      <c r="AC30" s="53">
        <f>'List of Courses'!L41</f>
        <v>0</v>
      </c>
      <c r="AD30" s="53">
        <f>'List of Courses'!M41</f>
        <v>0</v>
      </c>
      <c r="AE30" s="53">
        <f>'List of Courses'!N41</f>
        <v>0</v>
      </c>
      <c r="AF30" s="53">
        <f>'List of Courses'!O41</f>
        <v>1</v>
      </c>
      <c r="AG30" s="53">
        <f>'List of Courses'!P41</f>
        <v>0</v>
      </c>
      <c r="AH30" s="53">
        <f>'List of Courses'!Q41</f>
        <v>0</v>
      </c>
    </row>
    <row r="31" spans="1:34" x14ac:dyDescent="0.3">
      <c r="A31" s="292"/>
      <c r="B31" s="53" t="str">
        <f>'List of Courses'!B32</f>
        <v>CVL221</v>
      </c>
      <c r="C31" s="53" t="str">
        <f>'List of Courses'!C32</f>
        <v>Engineering Materials-1</v>
      </c>
      <c r="D31" s="53">
        <f>'List of Courses'!D32</f>
        <v>3</v>
      </c>
      <c r="E31" s="53">
        <f>'List of Courses'!E32</f>
        <v>5</v>
      </c>
      <c r="F31" s="53">
        <f>'List of Courses'!F32</f>
        <v>125</v>
      </c>
      <c r="G31" s="53">
        <f>'List of Courses'!G32</f>
        <v>2</v>
      </c>
      <c r="H31" s="53">
        <f>'List of Courses'!H32</f>
        <v>1</v>
      </c>
      <c r="I31" s="53">
        <f>'List of Courses'!I32</f>
        <v>1</v>
      </c>
      <c r="J31" s="53">
        <f>'List of Courses'!J32</f>
        <v>4</v>
      </c>
      <c r="K31" s="53" t="str">
        <f>'List of Courses'!K32</f>
        <v>--</v>
      </c>
      <c r="L31" s="53">
        <f>'List of Courses'!L32</f>
        <v>0</v>
      </c>
      <c r="M31" s="53">
        <f>'List of Courses'!M32</f>
        <v>0</v>
      </c>
      <c r="N31" s="53">
        <f>'List of Courses'!N32</f>
        <v>0</v>
      </c>
      <c r="O31" s="53">
        <f>'List of Courses'!O32</f>
        <v>1</v>
      </c>
      <c r="P31" s="53">
        <f>'List of Courses'!P32</f>
        <v>0</v>
      </c>
      <c r="Q31" s="53">
        <f>'List of Courses'!Q32</f>
        <v>0</v>
      </c>
      <c r="R31" s="294"/>
      <c r="S31" s="53" t="str">
        <f>'List of Courses'!B42</f>
        <v>CVL331</v>
      </c>
      <c r="T31" s="53" t="str">
        <f>'List of Courses'!C42</f>
        <v>Construction Engineering &amp; Methods</v>
      </c>
      <c r="U31" s="53">
        <f>'List of Courses'!D42</f>
        <v>3</v>
      </c>
      <c r="V31" s="53">
        <f>'List of Courses'!E42</f>
        <v>5</v>
      </c>
      <c r="W31" s="53">
        <f>'List of Courses'!F42</f>
        <v>125</v>
      </c>
      <c r="X31" s="53">
        <f>'List of Courses'!G42</f>
        <v>2</v>
      </c>
      <c r="Y31" s="53">
        <f>'List of Courses'!H42</f>
        <v>2</v>
      </c>
      <c r="Z31" s="53">
        <f>'List of Courses'!I42</f>
        <v>0</v>
      </c>
      <c r="AA31" s="53">
        <f>'List of Courses'!J42</f>
        <v>4</v>
      </c>
      <c r="AB31" s="53" t="str">
        <f>'List of Courses'!K42</f>
        <v>--</v>
      </c>
      <c r="AC31" s="53">
        <f>'List of Courses'!L42</f>
        <v>0</v>
      </c>
      <c r="AD31" s="53">
        <f>'List of Courses'!M42</f>
        <v>0</v>
      </c>
      <c r="AE31" s="53">
        <f>'List of Courses'!N42</f>
        <v>0</v>
      </c>
      <c r="AF31" s="53">
        <f>'List of Courses'!O42</f>
        <v>1</v>
      </c>
      <c r="AG31" s="53">
        <f>'List of Courses'!P42</f>
        <v>0</v>
      </c>
      <c r="AH31" s="53">
        <f>'List of Courses'!Q42</f>
        <v>0</v>
      </c>
    </row>
    <row r="32" spans="1:34" x14ac:dyDescent="0.3">
      <c r="A32" s="292"/>
      <c r="B32" s="56" t="str">
        <f>'List of Courses'!B43</f>
        <v>CVL332</v>
      </c>
      <c r="C32" s="56" t="str">
        <f>'List of Courses'!C43</f>
        <v>Quantity Surveying, Estimation and Specifications</v>
      </c>
      <c r="D32" s="56">
        <f>'List of Courses'!D43</f>
        <v>3</v>
      </c>
      <c r="E32" s="56">
        <f>'List of Courses'!E43</f>
        <v>5</v>
      </c>
      <c r="F32" s="56">
        <f>'List of Courses'!F43</f>
        <v>125</v>
      </c>
      <c r="G32" s="56">
        <f>'List of Courses'!G43</f>
        <v>2</v>
      </c>
      <c r="H32" s="56">
        <f>'List of Courses'!H43</f>
        <v>2</v>
      </c>
      <c r="I32" s="56">
        <f>'List of Courses'!I43</f>
        <v>0</v>
      </c>
      <c r="J32" s="56">
        <f>'List of Courses'!J43</f>
        <v>4</v>
      </c>
      <c r="K32" s="56" t="str">
        <f>'List of Courses'!K43</f>
        <v>CVL231</v>
      </c>
      <c r="L32" s="56">
        <f>'List of Courses'!L43</f>
        <v>0</v>
      </c>
      <c r="M32" s="56">
        <f>'List of Courses'!M43</f>
        <v>0</v>
      </c>
      <c r="N32" s="56">
        <f>'List of Courses'!N43</f>
        <v>0</v>
      </c>
      <c r="O32" s="56">
        <f>'List of Courses'!O43</f>
        <v>0</v>
      </c>
      <c r="P32" s="56">
        <f>'List of Courses'!P43</f>
        <v>1</v>
      </c>
      <c r="Q32" s="56">
        <f>'List of Courses'!Q43</f>
        <v>0</v>
      </c>
      <c r="R32" s="294"/>
      <c r="S32" s="56" t="str">
        <f>'List of Courses'!B45</f>
        <v>CVL334</v>
      </c>
      <c r="T32" s="56" t="str">
        <f>'List of Courses'!C45</f>
        <v>Construction Planning &amp; Scheduling</v>
      </c>
      <c r="U32" s="56">
        <f>'List of Courses'!D45</f>
        <v>3</v>
      </c>
      <c r="V32" s="56">
        <f>'List of Courses'!E45</f>
        <v>5</v>
      </c>
      <c r="W32" s="56">
        <f>'List of Courses'!F45</f>
        <v>125</v>
      </c>
      <c r="X32" s="56">
        <f>'List of Courses'!G45</f>
        <v>2</v>
      </c>
      <c r="Y32" s="56">
        <f>'List of Courses'!H45</f>
        <v>1</v>
      </c>
      <c r="Z32" s="56">
        <f>'List of Courses'!I45</f>
        <v>1</v>
      </c>
      <c r="AA32" s="56">
        <f>'List of Courses'!J45</f>
        <v>4</v>
      </c>
      <c r="AB32" s="56" t="str">
        <f>'List of Courses'!K45</f>
        <v>--</v>
      </c>
      <c r="AC32" s="56">
        <f>'List of Courses'!L45</f>
        <v>0</v>
      </c>
      <c r="AD32" s="56">
        <f>'List of Courses'!M45</f>
        <v>0</v>
      </c>
      <c r="AE32" s="56">
        <f>'List of Courses'!N45</f>
        <v>0</v>
      </c>
      <c r="AF32" s="56">
        <f>'List of Courses'!O45</f>
        <v>0</v>
      </c>
      <c r="AG32" s="56">
        <f>'List of Courses'!P45</f>
        <v>1</v>
      </c>
      <c r="AH32" s="56">
        <f>'List of Courses'!Q45</f>
        <v>0</v>
      </c>
    </row>
    <row r="33" spans="1:34" x14ac:dyDescent="0.3">
      <c r="A33" s="292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295"/>
      <c r="S33" s="53" t="str">
        <f>'List of Courses'!B49</f>
        <v>CVL391</v>
      </c>
      <c r="T33" s="53" t="str">
        <f>'List of Courses'!C49</f>
        <v>Practical Training-1</v>
      </c>
      <c r="U33" s="53">
        <f>'List of Courses'!D49</f>
        <v>0</v>
      </c>
      <c r="V33" s="53">
        <f>'List of Courses'!E49</f>
        <v>0</v>
      </c>
      <c r="W33" s="53">
        <f>'List of Courses'!F49</f>
        <v>0</v>
      </c>
      <c r="X33" s="53">
        <f>'List of Courses'!G49</f>
        <v>0</v>
      </c>
      <c r="Y33" s="53">
        <f>'List of Courses'!H49</f>
        <v>0</v>
      </c>
      <c r="Z33" s="53">
        <f>'List of Courses'!I49</f>
        <v>0</v>
      </c>
      <c r="AA33" s="53">
        <f>'List of Courses'!J49</f>
        <v>0</v>
      </c>
      <c r="AB33" s="53" t="str">
        <f>'List of Courses'!K49</f>
        <v>--</v>
      </c>
      <c r="AC33" s="53">
        <f>'List of Courses'!L49</f>
        <v>0</v>
      </c>
      <c r="AD33" s="53">
        <f>'List of Courses'!M49</f>
        <v>0</v>
      </c>
      <c r="AE33" s="53">
        <f>'List of Courses'!N49</f>
        <v>0</v>
      </c>
      <c r="AF33" s="53">
        <f>'List of Courses'!O49</f>
        <v>1</v>
      </c>
      <c r="AG33" s="53">
        <f>'List of Courses'!P49</f>
        <v>0</v>
      </c>
      <c r="AH33" s="53">
        <f>'List of Courses'!Q49</f>
        <v>0</v>
      </c>
    </row>
    <row r="34" spans="1:34" x14ac:dyDescent="0.3">
      <c r="D34" s="41">
        <f>SUM(D26:D33)</f>
        <v>21</v>
      </c>
      <c r="E34" s="41">
        <f>SUM(E26:E33)</f>
        <v>35</v>
      </c>
      <c r="F34" s="41">
        <f t="shared" ref="F34:I34" si="4">SUM(F26:F33)</f>
        <v>875</v>
      </c>
      <c r="G34" s="92">
        <f t="shared" si="4"/>
        <v>13</v>
      </c>
      <c r="H34" s="92">
        <f t="shared" si="4"/>
        <v>11</v>
      </c>
      <c r="I34" s="92">
        <f t="shared" si="4"/>
        <v>5</v>
      </c>
      <c r="J34" s="41">
        <f>SUM(J26:J33)</f>
        <v>29</v>
      </c>
      <c r="L34" s="6"/>
      <c r="M34" s="6"/>
      <c r="N34" s="6"/>
      <c r="O34" s="6"/>
      <c r="P34" s="6"/>
      <c r="Q34" s="6"/>
      <c r="U34" s="41">
        <f t="shared" ref="U34:AA34" si="5">SUM(U26:U33)</f>
        <v>21</v>
      </c>
      <c r="V34" s="41">
        <f t="shared" si="5"/>
        <v>35</v>
      </c>
      <c r="W34" s="41">
        <f t="shared" si="5"/>
        <v>875</v>
      </c>
      <c r="X34" s="41">
        <f t="shared" si="5"/>
        <v>15</v>
      </c>
      <c r="Y34" s="41">
        <f t="shared" si="5"/>
        <v>10</v>
      </c>
      <c r="Z34" s="41">
        <f t="shared" si="5"/>
        <v>2</v>
      </c>
      <c r="AA34" s="41">
        <f t="shared" si="5"/>
        <v>27</v>
      </c>
      <c r="AC34" s="1"/>
      <c r="AD34" s="1"/>
      <c r="AE34" s="1"/>
      <c r="AF34" s="1"/>
      <c r="AG34" s="1"/>
    </row>
    <row r="35" spans="1:34" x14ac:dyDescent="0.3">
      <c r="L35" s="1"/>
      <c r="M35" s="1"/>
      <c r="N35" s="1"/>
      <c r="O35" s="1"/>
      <c r="P35" s="1"/>
      <c r="Q35" s="1"/>
    </row>
    <row r="36" spans="1:34" ht="14.4" customHeight="1" x14ac:dyDescent="0.3">
      <c r="A36" s="292" t="s">
        <v>47</v>
      </c>
      <c r="B36" s="290" t="s">
        <v>17</v>
      </c>
      <c r="C36" s="290" t="s">
        <v>18</v>
      </c>
      <c r="D36" s="290" t="s">
        <v>1</v>
      </c>
      <c r="E36" s="290"/>
      <c r="F36" s="290"/>
      <c r="G36" s="290" t="s">
        <v>2</v>
      </c>
      <c r="H36" s="290"/>
      <c r="I36" s="290"/>
      <c r="J36" s="290"/>
      <c r="K36" s="288" t="s">
        <v>19</v>
      </c>
      <c r="L36" s="288" t="s">
        <v>20</v>
      </c>
      <c r="M36" s="288" t="s">
        <v>21</v>
      </c>
      <c r="N36" s="289" t="s">
        <v>111</v>
      </c>
      <c r="O36" s="288" t="s">
        <v>22</v>
      </c>
      <c r="P36" s="288" t="s">
        <v>98</v>
      </c>
      <c r="Q36" s="288" t="s">
        <v>89</v>
      </c>
      <c r="R36" s="293" t="s">
        <v>48</v>
      </c>
      <c r="S36" s="290" t="s">
        <v>17</v>
      </c>
      <c r="T36" s="290" t="s">
        <v>18</v>
      </c>
      <c r="U36" s="290" t="s">
        <v>1</v>
      </c>
      <c r="V36" s="290"/>
      <c r="W36" s="290"/>
      <c r="X36" s="290" t="s">
        <v>2</v>
      </c>
      <c r="Y36" s="290"/>
      <c r="Z36" s="290"/>
      <c r="AA36" s="290"/>
      <c r="AB36" s="288" t="s">
        <v>19</v>
      </c>
      <c r="AC36" s="288" t="s">
        <v>20</v>
      </c>
      <c r="AD36" s="288" t="s">
        <v>21</v>
      </c>
      <c r="AE36" s="289" t="s">
        <v>111</v>
      </c>
      <c r="AF36" s="288" t="s">
        <v>22</v>
      </c>
      <c r="AG36" s="288" t="s">
        <v>98</v>
      </c>
      <c r="AH36" s="288" t="s">
        <v>89</v>
      </c>
    </row>
    <row r="37" spans="1:34" x14ac:dyDescent="0.3">
      <c r="A37" s="292"/>
      <c r="B37" s="290"/>
      <c r="C37" s="290"/>
      <c r="D37" s="16" t="s">
        <v>3</v>
      </c>
      <c r="E37" s="16" t="s">
        <v>4</v>
      </c>
      <c r="F37" s="16" t="s">
        <v>5</v>
      </c>
      <c r="G37" s="16" t="s">
        <v>6</v>
      </c>
      <c r="H37" s="16" t="s">
        <v>7</v>
      </c>
      <c r="I37" s="16" t="s">
        <v>8</v>
      </c>
      <c r="J37" s="16" t="s">
        <v>9</v>
      </c>
      <c r="K37" s="288"/>
      <c r="L37" s="288"/>
      <c r="M37" s="288"/>
      <c r="N37" s="289"/>
      <c r="O37" s="288"/>
      <c r="P37" s="288"/>
      <c r="Q37" s="288"/>
      <c r="R37" s="294"/>
      <c r="S37" s="290"/>
      <c r="T37" s="290"/>
      <c r="U37" s="16" t="s">
        <v>3</v>
      </c>
      <c r="V37" s="16" t="s">
        <v>4</v>
      </c>
      <c r="W37" s="16" t="s">
        <v>5</v>
      </c>
      <c r="X37" s="16" t="s">
        <v>6</v>
      </c>
      <c r="Y37" s="16" t="s">
        <v>7</v>
      </c>
      <c r="Z37" s="16" t="s">
        <v>8</v>
      </c>
      <c r="AA37" s="16" t="s">
        <v>9</v>
      </c>
      <c r="AB37" s="288"/>
      <c r="AC37" s="288"/>
      <c r="AD37" s="288"/>
      <c r="AE37" s="289"/>
      <c r="AF37" s="288"/>
      <c r="AG37" s="288"/>
      <c r="AH37" s="288"/>
    </row>
    <row r="38" spans="1:34" ht="14.4" customHeight="1" x14ac:dyDescent="0.3">
      <c r="A38" s="292"/>
      <c r="B38" s="53" t="str">
        <f>'List of Courses'!B15</f>
        <v>MTH216</v>
      </c>
      <c r="C38" s="53" t="str">
        <f>'List of Courses'!C15</f>
        <v>Numerical Methods</v>
      </c>
      <c r="D38" s="53">
        <f>'List of Courses'!D15</f>
        <v>3</v>
      </c>
      <c r="E38" s="53">
        <f>'List of Courses'!E15</f>
        <v>5</v>
      </c>
      <c r="F38" s="53">
        <f>'List of Courses'!F15</f>
        <v>125</v>
      </c>
      <c r="G38" s="53">
        <f>'List of Courses'!G15</f>
        <v>2</v>
      </c>
      <c r="H38" s="53">
        <f>'List of Courses'!H15</f>
        <v>2</v>
      </c>
      <c r="I38" s="53">
        <f>'List of Courses'!I15</f>
        <v>0</v>
      </c>
      <c r="J38" s="53">
        <f>'List of Courses'!J15</f>
        <v>4</v>
      </c>
      <c r="K38" s="53" t="str">
        <f>'List of Courses'!K15</f>
        <v>MTH214 &amp; MTH215</v>
      </c>
      <c r="L38" s="53">
        <f>'List of Courses'!L15</f>
        <v>0</v>
      </c>
      <c r="M38" s="53">
        <f>'List of Courses'!M15</f>
        <v>0</v>
      </c>
      <c r="N38" s="4">
        <f>'List of Courses'!N15</f>
        <v>1</v>
      </c>
      <c r="O38" s="53">
        <f>'List of Courses'!O15</f>
        <v>1</v>
      </c>
      <c r="P38" s="53">
        <f>'List of Courses'!P15</f>
        <v>0</v>
      </c>
      <c r="Q38" s="53">
        <f>'List of Courses'!Q15</f>
        <v>0</v>
      </c>
      <c r="R38" s="294"/>
      <c r="S38" s="53" t="str">
        <f>'List of Courses'!B50</f>
        <v>CVL392</v>
      </c>
      <c r="T38" s="53" t="str">
        <f>'List of Courses'!C50</f>
        <v>Practical Training-2</v>
      </c>
      <c r="U38" s="53">
        <f>'List of Courses'!D50</f>
        <v>0</v>
      </c>
      <c r="V38" s="53">
        <f>'List of Courses'!E50</f>
        <v>0</v>
      </c>
      <c r="W38" s="53">
        <f>'List of Courses'!F50</f>
        <v>0</v>
      </c>
      <c r="X38" s="53">
        <f>'List of Courses'!G50</f>
        <v>0</v>
      </c>
      <c r="Y38" s="53">
        <f>'List of Courses'!H50</f>
        <v>0</v>
      </c>
      <c r="Z38" s="53">
        <f>'List of Courses'!I50</f>
        <v>0</v>
      </c>
      <c r="AA38" s="53">
        <f>'List of Courses'!J50</f>
        <v>0</v>
      </c>
      <c r="AB38" s="53" t="str">
        <f>'List of Courses'!K50</f>
        <v>CVL391 (CO)</v>
      </c>
      <c r="AC38" s="53">
        <f>'List of Courses'!L50</f>
        <v>0</v>
      </c>
      <c r="AD38" s="53">
        <f>'List of Courses'!M50</f>
        <v>0</v>
      </c>
      <c r="AE38" s="53">
        <f>'List of Courses'!N50</f>
        <v>0</v>
      </c>
      <c r="AF38" s="53">
        <f>'List of Courses'!O50</f>
        <v>1</v>
      </c>
      <c r="AG38" s="53">
        <f>'List of Courses'!P50</f>
        <v>0</v>
      </c>
      <c r="AH38" s="53">
        <f>'List of Courses'!Q50</f>
        <v>0</v>
      </c>
    </row>
    <row r="39" spans="1:34" x14ac:dyDescent="0.3">
      <c r="A39" s="292"/>
      <c r="B39" s="53" t="str">
        <f>'List of Courses'!B37</f>
        <v>CVL312</v>
      </c>
      <c r="C39" s="53" t="str">
        <f>'List of Courses'!C37</f>
        <v>Soil Mechanics</v>
      </c>
      <c r="D39" s="53">
        <f>'List of Courses'!D37</f>
        <v>3</v>
      </c>
      <c r="E39" s="53">
        <f>'List of Courses'!E37</f>
        <v>5</v>
      </c>
      <c r="F39" s="53">
        <f>'List of Courses'!F37</f>
        <v>125</v>
      </c>
      <c r="G39" s="53">
        <f>'List of Courses'!G37</f>
        <v>2</v>
      </c>
      <c r="H39" s="53">
        <f>'List of Courses'!H37</f>
        <v>1</v>
      </c>
      <c r="I39" s="53">
        <f>'List of Courses'!I37</f>
        <v>1</v>
      </c>
      <c r="J39" s="53">
        <f>'List of Courses'!J37</f>
        <v>4</v>
      </c>
      <c r="K39" s="53" t="str">
        <f>'List of Courses'!K37</f>
        <v>CVL221</v>
      </c>
      <c r="L39" s="53">
        <f>'List of Courses'!L37</f>
        <v>0</v>
      </c>
      <c r="M39" s="53">
        <f>'List of Courses'!M37</f>
        <v>0</v>
      </c>
      <c r="N39" s="53">
        <f>'List of Courses'!N37</f>
        <v>0</v>
      </c>
      <c r="O39" s="53">
        <f>'List of Courses'!O37</f>
        <v>1</v>
      </c>
      <c r="P39" s="53">
        <f>'List of Courses'!P37</f>
        <v>0</v>
      </c>
      <c r="Q39" s="53">
        <f>'List of Courses'!Q37</f>
        <v>0</v>
      </c>
      <c r="R39" s="294"/>
      <c r="S39" s="53" t="str">
        <f>'List of Courses'!B51</f>
        <v>CVL411</v>
      </c>
      <c r="T39" s="53" t="str">
        <f>'List of Courses'!C51</f>
        <v>Design &amp; Construction of Foundations</v>
      </c>
      <c r="U39" s="53">
        <f>'List of Courses'!D51</f>
        <v>3</v>
      </c>
      <c r="V39" s="53">
        <f>'List of Courses'!E51</f>
        <v>5</v>
      </c>
      <c r="W39" s="53">
        <f>'List of Courses'!F51</f>
        <v>125</v>
      </c>
      <c r="X39" s="53">
        <f>'List of Courses'!G51</f>
        <v>2</v>
      </c>
      <c r="Y39" s="53">
        <f>'List of Courses'!H51</f>
        <v>2</v>
      </c>
      <c r="Z39" s="53">
        <f>'List of Courses'!I51</f>
        <v>0</v>
      </c>
      <c r="AA39" s="53">
        <f>'List of Courses'!J51</f>
        <v>4</v>
      </c>
      <c r="AB39" s="53" t="str">
        <f>'List of Courses'!K51</f>
        <v>CVL312</v>
      </c>
      <c r="AC39" s="53">
        <f>'List of Courses'!L51</f>
        <v>0</v>
      </c>
      <c r="AD39" s="53">
        <f>'List of Courses'!M51</f>
        <v>0</v>
      </c>
      <c r="AE39" s="53">
        <f>'List of Courses'!N51</f>
        <v>0</v>
      </c>
      <c r="AF39" s="53">
        <f>'List of Courses'!O51</f>
        <v>1</v>
      </c>
      <c r="AG39" s="53">
        <f>'List of Courses'!P51</f>
        <v>0</v>
      </c>
      <c r="AH39" s="53">
        <f>'List of Courses'!Q51</f>
        <v>0</v>
      </c>
    </row>
    <row r="40" spans="1:34" x14ac:dyDescent="0.3">
      <c r="A40" s="292"/>
      <c r="B40" s="53" t="str">
        <f>'List of Courses'!B39</f>
        <v>CVL314</v>
      </c>
      <c r="C40" s="53" t="str">
        <f>'List of Courses'!C39</f>
        <v>Reinforced Concrete Design-2</v>
      </c>
      <c r="D40" s="53">
        <f>'List of Courses'!D39</f>
        <v>3</v>
      </c>
      <c r="E40" s="53">
        <f>'List of Courses'!E39</f>
        <v>5</v>
      </c>
      <c r="F40" s="53">
        <f>'List of Courses'!F39</f>
        <v>125</v>
      </c>
      <c r="G40" s="53">
        <f>'List of Courses'!G39</f>
        <v>2</v>
      </c>
      <c r="H40" s="53">
        <f>'List of Courses'!H39</f>
        <v>2</v>
      </c>
      <c r="I40" s="53">
        <f>'List of Courses'!I39</f>
        <v>0</v>
      </c>
      <c r="J40" s="53">
        <f>'List of Courses'!J39</f>
        <v>4</v>
      </c>
      <c r="K40" s="53" t="str">
        <f>'List of Courses'!K39</f>
        <v>CVL311</v>
      </c>
      <c r="L40" s="53">
        <f>'List of Courses'!L39</f>
        <v>0</v>
      </c>
      <c r="M40" s="53">
        <f>'List of Courses'!M39</f>
        <v>0</v>
      </c>
      <c r="N40" s="53">
        <f>'List of Courses'!N39</f>
        <v>0</v>
      </c>
      <c r="O40" s="53">
        <f>'List of Courses'!O39</f>
        <v>1</v>
      </c>
      <c r="P40" s="53">
        <f>'List of Courses'!P39</f>
        <v>0</v>
      </c>
      <c r="Q40" s="53">
        <f>'List of Courses'!Q39</f>
        <v>0</v>
      </c>
      <c r="R40" s="294"/>
      <c r="S40" s="56" t="str">
        <f>'List of Courses'!B57</f>
        <v>CVL432</v>
      </c>
      <c r="T40" s="56" t="str">
        <f>'List of Courses'!C57</f>
        <v xml:space="preserve">Contracts &amp; Commercial Management </v>
      </c>
      <c r="U40" s="56">
        <f>'List of Courses'!D57</f>
        <v>3</v>
      </c>
      <c r="V40" s="56">
        <f>'List of Courses'!E57</f>
        <v>5</v>
      </c>
      <c r="W40" s="56">
        <f>'List of Courses'!F57</f>
        <v>125</v>
      </c>
      <c r="X40" s="56">
        <f>'List of Courses'!G57</f>
        <v>2</v>
      </c>
      <c r="Y40" s="56">
        <f>'List of Courses'!H57</f>
        <v>2</v>
      </c>
      <c r="Z40" s="56">
        <f>'List of Courses'!I57</f>
        <v>0</v>
      </c>
      <c r="AA40" s="56">
        <f>'List of Courses'!J57</f>
        <v>4</v>
      </c>
      <c r="AB40" s="56" t="str">
        <f>'List of Courses'!K57</f>
        <v>--</v>
      </c>
      <c r="AC40" s="56">
        <f>'List of Courses'!L57</f>
        <v>0</v>
      </c>
      <c r="AD40" s="56">
        <f>'List of Courses'!M57</f>
        <v>0</v>
      </c>
      <c r="AE40" s="56">
        <f>'List of Courses'!N57</f>
        <v>0</v>
      </c>
      <c r="AF40" s="56">
        <f>'List of Courses'!O57</f>
        <v>0</v>
      </c>
      <c r="AG40" s="56">
        <f>'List of Courses'!P57</f>
        <v>1</v>
      </c>
      <c r="AH40" s="56">
        <f>'List of Courses'!Q57</f>
        <v>0</v>
      </c>
    </row>
    <row r="41" spans="1:34" x14ac:dyDescent="0.3">
      <c r="A41" s="292"/>
      <c r="B41" s="56" t="str">
        <f>'List of Courses'!B44</f>
        <v>CVL333</v>
      </c>
      <c r="C41" s="56" t="str">
        <f>'List of Courses'!C44</f>
        <v>Civil Engineering Economics</v>
      </c>
      <c r="D41" s="56">
        <f>'List of Courses'!D44</f>
        <v>3</v>
      </c>
      <c r="E41" s="56">
        <f>'List of Courses'!E44</f>
        <v>5</v>
      </c>
      <c r="F41" s="56">
        <f>'List of Courses'!F44</f>
        <v>125</v>
      </c>
      <c r="G41" s="56">
        <f>'List of Courses'!G44</f>
        <v>2</v>
      </c>
      <c r="H41" s="56">
        <f>'List of Courses'!H44</f>
        <v>2</v>
      </c>
      <c r="I41" s="56">
        <f>'List of Courses'!I44</f>
        <v>0</v>
      </c>
      <c r="J41" s="56">
        <f>'List of Courses'!J44</f>
        <v>4</v>
      </c>
      <c r="K41" s="56" t="str">
        <f>'List of Courses'!K44</f>
        <v>--</v>
      </c>
      <c r="L41" s="56">
        <f>'List of Courses'!L44</f>
        <v>0</v>
      </c>
      <c r="M41" s="56">
        <f>'List of Courses'!M44</f>
        <v>0</v>
      </c>
      <c r="N41" s="56">
        <f>'List of Courses'!N44</f>
        <v>0</v>
      </c>
      <c r="O41" s="56">
        <f>'List of Courses'!O44</f>
        <v>0</v>
      </c>
      <c r="P41" s="56">
        <f>'List of Courses'!P44</f>
        <v>1</v>
      </c>
      <c r="Q41" s="56">
        <f>'List of Courses'!Q44</f>
        <v>0</v>
      </c>
      <c r="R41" s="294"/>
      <c r="S41" s="53" t="str">
        <f>'List of Courses'!B63</f>
        <v>CVL441</v>
      </c>
      <c r="T41" s="53" t="str">
        <f>'List of Courses'!C63</f>
        <v>Fundamentals of Hydraulic Engineering</v>
      </c>
      <c r="U41" s="53">
        <f>'List of Courses'!D63</f>
        <v>3</v>
      </c>
      <c r="V41" s="53">
        <f>'List of Courses'!E63</f>
        <v>5</v>
      </c>
      <c r="W41" s="53">
        <f>'List of Courses'!F63</f>
        <v>125</v>
      </c>
      <c r="X41" s="53">
        <f>'List of Courses'!G63</f>
        <v>2</v>
      </c>
      <c r="Y41" s="53">
        <f>'List of Courses'!H63</f>
        <v>1</v>
      </c>
      <c r="Z41" s="53">
        <f>'List of Courses'!I63</f>
        <v>1</v>
      </c>
      <c r="AA41" s="53">
        <f>'List of Courses'!J63</f>
        <v>4</v>
      </c>
      <c r="AB41" s="53" t="str">
        <f>'List of Courses'!K63</f>
        <v>CVL341</v>
      </c>
      <c r="AC41" s="53">
        <f>'List of Courses'!L63</f>
        <v>0</v>
      </c>
      <c r="AD41" s="53">
        <f>'List of Courses'!M63</f>
        <v>0</v>
      </c>
      <c r="AE41" s="53">
        <f>'List of Courses'!N63</f>
        <v>0</v>
      </c>
      <c r="AF41" s="53">
        <f>'List of Courses'!O63</f>
        <v>1</v>
      </c>
      <c r="AG41" s="53">
        <f>'List of Courses'!P63</f>
        <v>0</v>
      </c>
      <c r="AH41" s="53">
        <f>'List of Courses'!Q63</f>
        <v>0</v>
      </c>
    </row>
    <row r="42" spans="1:34" x14ac:dyDescent="0.3">
      <c r="A42" s="292"/>
      <c r="B42" s="53" t="str">
        <f>'List of Courses'!B46</f>
        <v>CVL341</v>
      </c>
      <c r="C42" s="53" t="str">
        <f>'List of Courses'!C46</f>
        <v>Fluid Mechanics</v>
      </c>
      <c r="D42" s="53">
        <f>'List of Courses'!D46</f>
        <v>3</v>
      </c>
      <c r="E42" s="53">
        <f>'List of Courses'!E46</f>
        <v>5</v>
      </c>
      <c r="F42" s="53">
        <f>'List of Courses'!F46</f>
        <v>125</v>
      </c>
      <c r="G42" s="53">
        <f>'List of Courses'!G46</f>
        <v>2</v>
      </c>
      <c r="H42" s="53">
        <f>'List of Courses'!H46</f>
        <v>1</v>
      </c>
      <c r="I42" s="53">
        <f>'List of Courses'!I46</f>
        <v>1</v>
      </c>
      <c r="J42" s="53">
        <f>'List of Courses'!J46</f>
        <v>4</v>
      </c>
      <c r="K42" s="53" t="str">
        <f>'List of Courses'!K46</f>
        <v>MTH215</v>
      </c>
      <c r="L42" s="53">
        <f>'List of Courses'!L46</f>
        <v>0</v>
      </c>
      <c r="M42" s="53">
        <f>'List of Courses'!M46</f>
        <v>0</v>
      </c>
      <c r="N42" s="53">
        <f>'List of Courses'!N46</f>
        <v>0</v>
      </c>
      <c r="O42" s="53">
        <f>'List of Courses'!O46</f>
        <v>1</v>
      </c>
      <c r="P42" s="53">
        <f>'List of Courses'!P46</f>
        <v>0</v>
      </c>
      <c r="Q42" s="53">
        <f>'List of Courses'!Q46</f>
        <v>0</v>
      </c>
      <c r="R42" s="294"/>
      <c r="S42" s="53" t="str">
        <f>'List of Courses'!B64</f>
        <v>CVL451</v>
      </c>
      <c r="T42" s="53" t="str">
        <f>'List of Courses'!C64</f>
        <v xml:space="preserve">Introduction to Transportation &amp; Highway Engineering </v>
      </c>
      <c r="U42" s="53">
        <f>'List of Courses'!D64</f>
        <v>3</v>
      </c>
      <c r="V42" s="53">
        <f>'List of Courses'!E64</f>
        <v>5</v>
      </c>
      <c r="W42" s="53">
        <f>'List of Courses'!F64</f>
        <v>125</v>
      </c>
      <c r="X42" s="53">
        <f>'List of Courses'!G64</f>
        <v>2</v>
      </c>
      <c r="Y42" s="53">
        <f>'List of Courses'!H64</f>
        <v>1</v>
      </c>
      <c r="Z42" s="53">
        <f>'List of Courses'!I64</f>
        <v>1</v>
      </c>
      <c r="AA42" s="53">
        <f>'List of Courses'!J64</f>
        <v>4</v>
      </c>
      <c r="AB42" s="53" t="str">
        <f>'List of Courses'!K64</f>
        <v>--</v>
      </c>
      <c r="AC42" s="53">
        <f>'List of Courses'!L64</f>
        <v>0</v>
      </c>
      <c r="AD42" s="53">
        <f>'List of Courses'!M64</f>
        <v>0</v>
      </c>
      <c r="AE42" s="53">
        <f>'List of Courses'!N64</f>
        <v>0</v>
      </c>
      <c r="AF42" s="53">
        <f>'List of Courses'!O64</f>
        <v>1</v>
      </c>
      <c r="AG42" s="53">
        <f>'List of Courses'!P64</f>
        <v>0</v>
      </c>
      <c r="AH42" s="53">
        <f>'List of Courses'!Q64</f>
        <v>0</v>
      </c>
    </row>
    <row r="43" spans="1:34" x14ac:dyDescent="0.3">
      <c r="A43" s="292"/>
      <c r="B43" s="56" t="str">
        <f>'List of Courses'!B56</f>
        <v>CVL431</v>
      </c>
      <c r="C43" s="56" t="str">
        <f>'List of Courses'!C56</f>
        <v xml:space="preserve">Value &amp; Risk Management in Construction </v>
      </c>
      <c r="D43" s="56">
        <f>'List of Courses'!D56</f>
        <v>3</v>
      </c>
      <c r="E43" s="56">
        <f>'List of Courses'!E56</f>
        <v>5</v>
      </c>
      <c r="F43" s="56">
        <f>'List of Courses'!F56</f>
        <v>125</v>
      </c>
      <c r="G43" s="56">
        <f>'List of Courses'!G56</f>
        <v>2</v>
      </c>
      <c r="H43" s="56">
        <f>'List of Courses'!H56</f>
        <v>2</v>
      </c>
      <c r="I43" s="56">
        <f>'List of Courses'!I56</f>
        <v>0</v>
      </c>
      <c r="J43" s="56">
        <f>'List of Courses'!J56</f>
        <v>4</v>
      </c>
      <c r="K43" s="56" t="str">
        <f>'List of Courses'!K56</f>
        <v>CVL331</v>
      </c>
      <c r="L43" s="56">
        <f>'List of Courses'!L56</f>
        <v>0</v>
      </c>
      <c r="M43" s="56">
        <f>'List of Courses'!M56</f>
        <v>0</v>
      </c>
      <c r="N43" s="56">
        <f>'List of Courses'!N56</f>
        <v>0</v>
      </c>
      <c r="O43" s="56">
        <f>'List of Courses'!O56</f>
        <v>0</v>
      </c>
      <c r="P43" s="56">
        <f>'List of Courses'!P56</f>
        <v>1</v>
      </c>
      <c r="Q43" s="56">
        <f>'List of Courses'!Q56</f>
        <v>0</v>
      </c>
      <c r="R43" s="294"/>
      <c r="S43" s="56" t="str">
        <f>'List of Courses'!B71</f>
        <v>MTH E</v>
      </c>
      <c r="T43" s="56" t="str">
        <f>'List of Courses'!C71</f>
        <v>Major Math Elective</v>
      </c>
      <c r="U43" s="56">
        <f>'List of Courses'!D71</f>
        <v>3</v>
      </c>
      <c r="V43" s="56">
        <f>'List of Courses'!E71</f>
        <v>5</v>
      </c>
      <c r="W43" s="56">
        <f>'List of Courses'!F71</f>
        <v>125</v>
      </c>
      <c r="X43" s="56">
        <f>'List of Courses'!G71</f>
        <v>2</v>
      </c>
      <c r="Y43" s="56">
        <f>'List of Courses'!H71</f>
        <v>2</v>
      </c>
      <c r="Z43" s="56">
        <f>'List of Courses'!I71</f>
        <v>0</v>
      </c>
      <c r="AA43" s="56">
        <f>'List of Courses'!J71</f>
        <v>4</v>
      </c>
      <c r="AB43" s="56" t="str">
        <f>'List of Courses'!K71</f>
        <v>List</v>
      </c>
      <c r="AC43" s="56">
        <f>'List of Courses'!L71</f>
        <v>0</v>
      </c>
      <c r="AD43" s="56">
        <f>'List of Courses'!M71</f>
        <v>0</v>
      </c>
      <c r="AE43" s="56">
        <f>'List of Courses'!N71</f>
        <v>0</v>
      </c>
      <c r="AF43" s="56">
        <f>'List of Courses'!O71</f>
        <v>0</v>
      </c>
      <c r="AG43" s="56">
        <f>'List of Courses'!P71</f>
        <v>1</v>
      </c>
      <c r="AH43" s="57">
        <f>'List of Courses'!Q71</f>
        <v>1</v>
      </c>
    </row>
    <row r="44" spans="1:34" x14ac:dyDescent="0.3">
      <c r="A44" s="292"/>
      <c r="B44" s="34" t="str">
        <f>'List of Courses'!B27</f>
        <v>INT E2</v>
      </c>
      <c r="C44" s="34" t="str">
        <f>'List of Courses'!C27</f>
        <v>Sustainable Development Electives</v>
      </c>
      <c r="D44" s="34">
        <f>'List of Courses'!D27</f>
        <v>3</v>
      </c>
      <c r="E44" s="34">
        <f>'List of Courses'!E27</f>
        <v>5</v>
      </c>
      <c r="F44" s="34">
        <f>'List of Courses'!F27</f>
        <v>125</v>
      </c>
      <c r="G44" s="34">
        <f>'List of Courses'!G27</f>
        <v>2</v>
      </c>
      <c r="H44" s="34">
        <f>'List of Courses'!H27</f>
        <v>2</v>
      </c>
      <c r="I44" s="34">
        <f>'List of Courses'!I27</f>
        <v>0</v>
      </c>
      <c r="J44" s="34">
        <f>'List of Courses'!J27</f>
        <v>4</v>
      </c>
      <c r="K44" s="34" t="str">
        <f>'List of Courses'!K27</f>
        <v>--</v>
      </c>
      <c r="L44" s="34">
        <f>'List of Courses'!L27</f>
        <v>0</v>
      </c>
      <c r="M44" s="34">
        <f>'List of Courses'!M27</f>
        <v>1</v>
      </c>
      <c r="N44" s="34">
        <f>'List of Courses'!N27</f>
        <v>0</v>
      </c>
      <c r="O44" s="34">
        <f>'List of Courses'!O27</f>
        <v>0</v>
      </c>
      <c r="P44" s="34">
        <f>'List of Courses'!P27</f>
        <v>0</v>
      </c>
      <c r="Q44" s="57">
        <f>'List of Courses'!Q71</f>
        <v>1</v>
      </c>
      <c r="R44" s="294"/>
      <c r="S44" s="56" t="str">
        <f>'List of Courses'!B72</f>
        <v>CVL E1</v>
      </c>
      <c r="T44" s="56" t="str">
        <f>'List of Courses'!C72</f>
        <v>Major Elective (1)</v>
      </c>
      <c r="U44" s="56">
        <f>'List of Courses'!D72</f>
        <v>3</v>
      </c>
      <c r="V44" s="56">
        <f>'List of Courses'!E72</f>
        <v>5</v>
      </c>
      <c r="W44" s="56">
        <f>'List of Courses'!F72</f>
        <v>125</v>
      </c>
      <c r="X44" s="56">
        <f>'List of Courses'!G72</f>
        <v>2</v>
      </c>
      <c r="Y44" s="56">
        <f>'List of Courses'!H72</f>
        <v>1</v>
      </c>
      <c r="Z44" s="56">
        <f>'List of Courses'!I72</f>
        <v>1</v>
      </c>
      <c r="AA44" s="56">
        <f>'List of Courses'!J72</f>
        <v>4</v>
      </c>
      <c r="AB44" s="56" t="str">
        <f>'List of Courses'!K72</f>
        <v>List</v>
      </c>
      <c r="AC44" s="56">
        <f>'List of Courses'!L72</f>
        <v>0</v>
      </c>
      <c r="AD44" s="56">
        <f>'List of Courses'!M72</f>
        <v>0</v>
      </c>
      <c r="AE44" s="56">
        <f>'List of Courses'!N72</f>
        <v>0</v>
      </c>
      <c r="AF44" s="56">
        <f>'List of Courses'!O72</f>
        <v>0</v>
      </c>
      <c r="AG44" s="56">
        <f>'List of Courses'!P72</f>
        <v>1</v>
      </c>
      <c r="AH44" s="57">
        <f>'List of Courses'!Q72</f>
        <v>1</v>
      </c>
    </row>
    <row r="45" spans="1:34" x14ac:dyDescent="0.3">
      <c r="A45" s="292"/>
      <c r="B45" s="3"/>
      <c r="C45" s="75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295"/>
      <c r="S45" s="56" t="str">
        <f>'List of Courses'!B73</f>
        <v>CVL E2</v>
      </c>
      <c r="T45" s="56" t="str">
        <f>'List of Courses'!C73</f>
        <v>Major Elective (2)</v>
      </c>
      <c r="U45" s="56">
        <f>'List of Courses'!D73</f>
        <v>3</v>
      </c>
      <c r="V45" s="56">
        <f>'List of Courses'!E73</f>
        <v>5</v>
      </c>
      <c r="W45" s="56">
        <f>'List of Courses'!F73</f>
        <v>125</v>
      </c>
      <c r="X45" s="56">
        <f>'List of Courses'!G73</f>
        <v>2</v>
      </c>
      <c r="Y45" s="56">
        <f>'List of Courses'!H73</f>
        <v>1</v>
      </c>
      <c r="Z45" s="56">
        <f>'List of Courses'!I73</f>
        <v>1</v>
      </c>
      <c r="AA45" s="56">
        <f>'List of Courses'!J73</f>
        <v>4</v>
      </c>
      <c r="AB45" s="56" t="str">
        <f>'List of Courses'!K73</f>
        <v>List</v>
      </c>
      <c r="AC45" s="56">
        <f>'List of Courses'!L73</f>
        <v>0</v>
      </c>
      <c r="AD45" s="56">
        <f>'List of Courses'!M73</f>
        <v>0</v>
      </c>
      <c r="AE45" s="56">
        <f>'List of Courses'!N73</f>
        <v>0</v>
      </c>
      <c r="AF45" s="56">
        <f>'List of Courses'!O73</f>
        <v>0</v>
      </c>
      <c r="AG45" s="56">
        <f>'List of Courses'!P73</f>
        <v>1</v>
      </c>
      <c r="AH45" s="57">
        <f>'List of Courses'!Q73</f>
        <v>1</v>
      </c>
    </row>
    <row r="46" spans="1:34" x14ac:dyDescent="0.3">
      <c r="D46" s="41">
        <f t="shared" ref="D46:J46" si="6">SUM(D38:D45)</f>
        <v>21</v>
      </c>
      <c r="E46" s="41">
        <f t="shared" si="6"/>
        <v>35</v>
      </c>
      <c r="F46" s="41">
        <f t="shared" si="6"/>
        <v>875</v>
      </c>
      <c r="G46" s="41">
        <f t="shared" si="6"/>
        <v>14</v>
      </c>
      <c r="H46" s="41">
        <f t="shared" si="6"/>
        <v>12</v>
      </c>
      <c r="I46" s="41">
        <f t="shared" si="6"/>
        <v>2</v>
      </c>
      <c r="J46" s="41">
        <f t="shared" si="6"/>
        <v>28</v>
      </c>
      <c r="L46" s="1"/>
      <c r="M46" s="1"/>
      <c r="N46" s="1"/>
      <c r="O46" s="1"/>
      <c r="P46" s="1"/>
      <c r="Q46" s="1"/>
      <c r="U46" s="41">
        <f t="shared" ref="U46:AA46" si="7">SUM(U38:U45)</f>
        <v>21</v>
      </c>
      <c r="V46" s="41">
        <f t="shared" si="7"/>
        <v>35</v>
      </c>
      <c r="W46" s="41">
        <f t="shared" si="7"/>
        <v>875</v>
      </c>
      <c r="X46" s="41">
        <f t="shared" si="7"/>
        <v>14</v>
      </c>
      <c r="Y46" s="41">
        <f t="shared" si="7"/>
        <v>10</v>
      </c>
      <c r="Z46" s="41">
        <f t="shared" si="7"/>
        <v>4</v>
      </c>
      <c r="AA46" s="41">
        <f t="shared" si="7"/>
        <v>28</v>
      </c>
      <c r="AC46" s="1"/>
      <c r="AD46" s="1"/>
      <c r="AE46" s="1"/>
      <c r="AF46" s="1"/>
      <c r="AG46" s="1"/>
    </row>
    <row r="48" spans="1:34" ht="14.4" customHeight="1" x14ac:dyDescent="0.3">
      <c r="A48" s="292" t="s">
        <v>61</v>
      </c>
      <c r="B48" s="290" t="s">
        <v>17</v>
      </c>
      <c r="C48" s="290" t="s">
        <v>18</v>
      </c>
      <c r="D48" s="290" t="s">
        <v>1</v>
      </c>
      <c r="E48" s="290"/>
      <c r="F48" s="290"/>
      <c r="G48" s="290" t="s">
        <v>2</v>
      </c>
      <c r="H48" s="290"/>
      <c r="I48" s="290"/>
      <c r="J48" s="290"/>
      <c r="K48" s="288" t="s">
        <v>19</v>
      </c>
      <c r="L48" s="288" t="s">
        <v>20</v>
      </c>
      <c r="M48" s="288" t="s">
        <v>21</v>
      </c>
      <c r="N48" s="289" t="s">
        <v>111</v>
      </c>
      <c r="O48" s="288" t="s">
        <v>22</v>
      </c>
      <c r="P48" s="288" t="s">
        <v>98</v>
      </c>
      <c r="Q48" s="288" t="s">
        <v>89</v>
      </c>
      <c r="R48" s="76"/>
      <c r="S48" s="29"/>
      <c r="T48" s="29"/>
      <c r="U48" s="29"/>
      <c r="V48" s="29"/>
      <c r="W48" s="29"/>
      <c r="X48" s="29"/>
      <c r="Y48" s="29"/>
      <c r="Z48" s="29"/>
      <c r="AA48" s="29"/>
      <c r="AB48" s="28"/>
      <c r="AC48" s="28"/>
      <c r="AD48" s="28"/>
      <c r="AE48" s="91"/>
      <c r="AF48" s="28"/>
      <c r="AG48" s="28"/>
      <c r="AH48" s="28"/>
    </row>
    <row r="49" spans="1:34" x14ac:dyDescent="0.3">
      <c r="A49" s="292"/>
      <c r="B49" s="290"/>
      <c r="C49" s="290"/>
      <c r="D49" s="16" t="s">
        <v>3</v>
      </c>
      <c r="E49" s="16" t="s">
        <v>4</v>
      </c>
      <c r="F49" s="16" t="s">
        <v>5</v>
      </c>
      <c r="G49" s="16" t="s">
        <v>6</v>
      </c>
      <c r="H49" s="16" t="s">
        <v>7</v>
      </c>
      <c r="I49" s="16" t="s">
        <v>8</v>
      </c>
      <c r="J49" s="16" t="s">
        <v>9</v>
      </c>
      <c r="K49" s="288"/>
      <c r="L49" s="288"/>
      <c r="M49" s="288"/>
      <c r="N49" s="289"/>
      <c r="O49" s="288"/>
      <c r="P49" s="288"/>
      <c r="Q49" s="288"/>
      <c r="R49" s="76"/>
      <c r="S49" s="29"/>
      <c r="T49" s="29"/>
      <c r="U49" s="27"/>
      <c r="V49" s="27"/>
      <c r="W49" s="27"/>
      <c r="X49" s="27"/>
      <c r="Y49" s="27"/>
      <c r="Z49" s="27"/>
      <c r="AA49" s="27"/>
      <c r="AB49" s="28"/>
      <c r="AC49" s="28"/>
      <c r="AD49" s="28"/>
      <c r="AE49" s="91"/>
      <c r="AF49" s="28"/>
      <c r="AG49" s="28"/>
      <c r="AH49" s="28"/>
    </row>
    <row r="50" spans="1:34" ht="14.4" customHeight="1" x14ac:dyDescent="0.3">
      <c r="A50" s="292"/>
      <c r="B50" s="56" t="str">
        <f>'List of Courses'!B58</f>
        <v>CVL433</v>
      </c>
      <c r="C50" s="56" t="str">
        <f>'List of Courses'!C58</f>
        <v>Infrastructure Asset Management</v>
      </c>
      <c r="D50" s="56">
        <f>'List of Courses'!D58</f>
        <v>3</v>
      </c>
      <c r="E50" s="56">
        <f>'List of Courses'!E58</f>
        <v>5</v>
      </c>
      <c r="F50" s="56">
        <f>'List of Courses'!F58</f>
        <v>125</v>
      </c>
      <c r="G50" s="56">
        <f>'List of Courses'!G58</f>
        <v>2</v>
      </c>
      <c r="H50" s="56">
        <f>'List of Courses'!H58</f>
        <v>2</v>
      </c>
      <c r="I50" s="56">
        <f>'List of Courses'!I58</f>
        <v>0</v>
      </c>
      <c r="J50" s="56">
        <f>'List of Courses'!J58</f>
        <v>4</v>
      </c>
      <c r="K50" s="56" t="str">
        <f>'List of Courses'!K58</f>
        <v>CVL431</v>
      </c>
      <c r="L50" s="56">
        <f>'List of Courses'!L58</f>
        <v>0</v>
      </c>
      <c r="M50" s="56">
        <f>'List of Courses'!M58</f>
        <v>0</v>
      </c>
      <c r="N50" s="56">
        <f>'List of Courses'!N58</f>
        <v>0</v>
      </c>
      <c r="O50" s="56">
        <f>'List of Courses'!O58</f>
        <v>0</v>
      </c>
      <c r="P50" s="56">
        <f>'List of Courses'!P58</f>
        <v>1</v>
      </c>
      <c r="Q50" s="56">
        <f>'List of Courses'!Q58</f>
        <v>0</v>
      </c>
      <c r="R50" s="76"/>
    </row>
    <row r="51" spans="1:34" x14ac:dyDescent="0.3">
      <c r="A51" s="292"/>
      <c r="B51" s="56" t="str">
        <f>'List of Courses'!B59</f>
        <v>CVL434</v>
      </c>
      <c r="C51" s="56" t="str">
        <f>'List of Courses'!C59</f>
        <v xml:space="preserve">Strategic Management in Construction </v>
      </c>
      <c r="D51" s="56">
        <f>'List of Courses'!D59</f>
        <v>3</v>
      </c>
      <c r="E51" s="56">
        <f>'List of Courses'!E59</f>
        <v>5</v>
      </c>
      <c r="F51" s="56">
        <f>'List of Courses'!F59</f>
        <v>125</v>
      </c>
      <c r="G51" s="56">
        <f>'List of Courses'!G59</f>
        <v>2</v>
      </c>
      <c r="H51" s="56">
        <f>'List of Courses'!H59</f>
        <v>2</v>
      </c>
      <c r="I51" s="56">
        <f>'List of Courses'!I59</f>
        <v>0</v>
      </c>
      <c r="J51" s="56">
        <f>'List of Courses'!J59</f>
        <v>4</v>
      </c>
      <c r="K51" s="56" t="str">
        <f>'List of Courses'!K59</f>
        <v>CVL432</v>
      </c>
      <c r="L51" s="56">
        <f>'List of Courses'!L59</f>
        <v>0</v>
      </c>
      <c r="M51" s="56">
        <f>'List of Courses'!M59</f>
        <v>0</v>
      </c>
      <c r="N51" s="56">
        <f>'List of Courses'!N59</f>
        <v>0</v>
      </c>
      <c r="O51" s="56">
        <f>'List of Courses'!O59</f>
        <v>0</v>
      </c>
      <c r="P51" s="56">
        <f>'List of Courses'!P59</f>
        <v>1</v>
      </c>
      <c r="Q51" s="56">
        <f>'List of Courses'!Q59</f>
        <v>0</v>
      </c>
      <c r="R51" s="76"/>
    </row>
    <row r="52" spans="1:34" x14ac:dyDescent="0.3">
      <c r="A52" s="292"/>
      <c r="B52" s="56" t="str">
        <f>'List of Courses'!B74</f>
        <v>CVL E3</v>
      </c>
      <c r="C52" s="56" t="str">
        <f>'List of Courses'!C74</f>
        <v>Major Elective (3)</v>
      </c>
      <c r="D52" s="56">
        <f>'List of Courses'!D74</f>
        <v>3</v>
      </c>
      <c r="E52" s="56">
        <f>'List of Courses'!E74</f>
        <v>5</v>
      </c>
      <c r="F52" s="56">
        <f>'List of Courses'!F74</f>
        <v>125</v>
      </c>
      <c r="G52" s="56">
        <f>'List of Courses'!G74</f>
        <v>2</v>
      </c>
      <c r="H52" s="56">
        <f>'List of Courses'!H74</f>
        <v>1</v>
      </c>
      <c r="I52" s="56">
        <f>'List of Courses'!I74</f>
        <v>1</v>
      </c>
      <c r="J52" s="56">
        <f>'List of Courses'!J74</f>
        <v>4</v>
      </c>
      <c r="K52" s="56" t="str">
        <f>'List of Courses'!K74</f>
        <v>List</v>
      </c>
      <c r="L52" s="56">
        <f>'List of Courses'!L74</f>
        <v>0</v>
      </c>
      <c r="M52" s="56">
        <f>'List of Courses'!M74</f>
        <v>0</v>
      </c>
      <c r="N52" s="56">
        <f>'List of Courses'!N74</f>
        <v>0</v>
      </c>
      <c r="O52" s="56">
        <f>'List of Courses'!O74</f>
        <v>0</v>
      </c>
      <c r="P52" s="56">
        <f>'List of Courses'!P74</f>
        <v>1</v>
      </c>
      <c r="Q52" s="57">
        <f>'List of Courses'!Q74</f>
        <v>1</v>
      </c>
      <c r="R52" s="76"/>
    </row>
    <row r="53" spans="1:34" x14ac:dyDescent="0.3">
      <c r="A53" s="292"/>
      <c r="B53" s="56" t="str">
        <f>'List of Courses'!B75</f>
        <v>CVL E4</v>
      </c>
      <c r="C53" s="56" t="str">
        <f>'List of Courses'!C75</f>
        <v>Major Elective (4)</v>
      </c>
      <c r="D53" s="56">
        <f>'List of Courses'!D75</f>
        <v>3</v>
      </c>
      <c r="E53" s="56">
        <f>'List of Courses'!E75</f>
        <v>5</v>
      </c>
      <c r="F53" s="56">
        <f>'List of Courses'!F75</f>
        <v>125</v>
      </c>
      <c r="G53" s="56">
        <f>'List of Courses'!G75</f>
        <v>2</v>
      </c>
      <c r="H53" s="56">
        <f>'List of Courses'!H75</f>
        <v>1</v>
      </c>
      <c r="I53" s="56">
        <f>'List of Courses'!I75</f>
        <v>1</v>
      </c>
      <c r="J53" s="56">
        <f>'List of Courses'!J75</f>
        <v>4</v>
      </c>
      <c r="K53" s="56" t="str">
        <f>'List of Courses'!K75</f>
        <v>List</v>
      </c>
      <c r="L53" s="56">
        <f>'List of Courses'!L75</f>
        <v>0</v>
      </c>
      <c r="M53" s="56">
        <f>'List of Courses'!M75</f>
        <v>0</v>
      </c>
      <c r="N53" s="56">
        <f>'List of Courses'!N75</f>
        <v>0</v>
      </c>
      <c r="O53" s="56">
        <f>'List of Courses'!O75</f>
        <v>0</v>
      </c>
      <c r="P53" s="56">
        <f>'List of Courses'!P75</f>
        <v>1</v>
      </c>
      <c r="Q53" s="57">
        <f>'List of Courses'!Q75</f>
        <v>1</v>
      </c>
      <c r="R53" s="76"/>
    </row>
    <row r="54" spans="1:34" x14ac:dyDescent="0.3">
      <c r="A54" s="292"/>
      <c r="B54" s="34" t="str">
        <f>'List of Courses'!B28</f>
        <v>EBS111</v>
      </c>
      <c r="C54" s="34" t="str">
        <f>'List of Courses'!C28</f>
        <v xml:space="preserve">Selected Topics in Entrepreneurship </v>
      </c>
      <c r="D54" s="34">
        <f>'List of Courses'!D28</f>
        <v>3</v>
      </c>
      <c r="E54" s="34">
        <f>'List of Courses'!E28</f>
        <v>5</v>
      </c>
      <c r="F54" s="34">
        <f>'List of Courses'!F28</f>
        <v>125</v>
      </c>
      <c r="G54" s="34">
        <f>'List of Courses'!G28</f>
        <v>2</v>
      </c>
      <c r="H54" s="34">
        <f>'List of Courses'!H28</f>
        <v>2</v>
      </c>
      <c r="I54" s="34">
        <f>'List of Courses'!I28</f>
        <v>0</v>
      </c>
      <c r="J54" s="34">
        <f>'List of Courses'!J28</f>
        <v>4</v>
      </c>
      <c r="K54" s="34" t="str">
        <f>'List of Courses'!K28</f>
        <v>--</v>
      </c>
      <c r="L54" s="34">
        <f>'List of Courses'!L28</f>
        <v>0</v>
      </c>
      <c r="M54" s="34">
        <f>'List of Courses'!M28</f>
        <v>1</v>
      </c>
      <c r="N54" s="34">
        <f>'List of Courses'!N28</f>
        <v>0</v>
      </c>
      <c r="O54" s="34">
        <f>'List of Courses'!O28</f>
        <v>0</v>
      </c>
      <c r="P54" s="34">
        <f>'List of Courses'!P28</f>
        <v>0</v>
      </c>
      <c r="Q54" s="3">
        <f>'List of Courses'!Q28</f>
        <v>0</v>
      </c>
      <c r="R54" s="76"/>
    </row>
    <row r="55" spans="1:34" x14ac:dyDescent="0.3">
      <c r="A55" s="292"/>
      <c r="B55" s="53" t="str">
        <f>'List of Courses'!B68</f>
        <v>CVL493</v>
      </c>
      <c r="C55" s="53" t="str">
        <f>'List of Courses'!C68</f>
        <v>Graduation Project I</v>
      </c>
      <c r="D55" s="53">
        <f>'List of Courses'!D68</f>
        <v>3</v>
      </c>
      <c r="E55" s="53">
        <f>'List of Courses'!E68</f>
        <v>5</v>
      </c>
      <c r="F55" s="53">
        <f>'List of Courses'!F68</f>
        <v>125</v>
      </c>
      <c r="G55" s="53">
        <f>'List of Courses'!G68</f>
        <v>1</v>
      </c>
      <c r="H55" s="53">
        <f>'List of Courses'!H68</f>
        <v>0</v>
      </c>
      <c r="I55" s="53">
        <f>'List of Courses'!I68</f>
        <v>4</v>
      </c>
      <c r="J55" s="53">
        <f>'List of Courses'!J68</f>
        <v>5</v>
      </c>
      <c r="K55" s="53" t="str">
        <f>'List of Courses'!K68</f>
        <v>--</v>
      </c>
      <c r="L55" s="53">
        <f>'List of Courses'!L68</f>
        <v>0</v>
      </c>
      <c r="M55" s="53">
        <f>'List of Courses'!M68</f>
        <v>0</v>
      </c>
      <c r="N55" s="53">
        <f>'List of Courses'!N68</f>
        <v>0</v>
      </c>
      <c r="O55" s="53">
        <f>'List of Courses'!O68</f>
        <v>1</v>
      </c>
      <c r="P55" s="53">
        <f>'List of Courses'!P68</f>
        <v>0</v>
      </c>
      <c r="Q55" s="53">
        <f>'List of Courses'!Q68</f>
        <v>0</v>
      </c>
      <c r="R55" s="76"/>
    </row>
    <row r="56" spans="1:34" x14ac:dyDescent="0.3">
      <c r="A56" s="292"/>
      <c r="B56" s="53" t="str">
        <f>'List of Courses'!B69</f>
        <v>CVL494</v>
      </c>
      <c r="C56" s="53" t="str">
        <f>'List of Courses'!C69</f>
        <v>Graduation Project II</v>
      </c>
      <c r="D56" s="53">
        <f>'List of Courses'!D69</f>
        <v>3</v>
      </c>
      <c r="E56" s="53">
        <f>'List of Courses'!E69</f>
        <v>5</v>
      </c>
      <c r="F56" s="53">
        <f>'List of Courses'!F69</f>
        <v>125</v>
      </c>
      <c r="G56" s="53">
        <f>'List of Courses'!G69</f>
        <v>1</v>
      </c>
      <c r="H56" s="53">
        <f>'List of Courses'!H69</f>
        <v>0</v>
      </c>
      <c r="I56" s="53">
        <f>'List of Courses'!I69</f>
        <v>4</v>
      </c>
      <c r="J56" s="53">
        <f>'List of Courses'!J69</f>
        <v>5</v>
      </c>
      <c r="K56" s="53" t="str">
        <f>'List of Courses'!K69</f>
        <v>CVL493 (CO)</v>
      </c>
      <c r="L56" s="53">
        <f>'List of Courses'!L69</f>
        <v>0</v>
      </c>
      <c r="M56" s="53">
        <f>'List of Courses'!M69</f>
        <v>0</v>
      </c>
      <c r="N56" s="53">
        <f>'List of Courses'!N69</f>
        <v>0</v>
      </c>
      <c r="O56" s="53">
        <f>'List of Courses'!O69</f>
        <v>1</v>
      </c>
      <c r="P56" s="53">
        <f>'List of Courses'!P69</f>
        <v>0</v>
      </c>
      <c r="Q56" s="53">
        <f>'List of Courses'!Q69</f>
        <v>0</v>
      </c>
      <c r="R56" s="76"/>
      <c r="S56" s="1"/>
      <c r="T56" s="1"/>
      <c r="U56" s="6"/>
      <c r="V56" s="6"/>
      <c r="W56" s="6"/>
      <c r="X56" s="6"/>
      <c r="Y56" s="6"/>
      <c r="Z56" s="6"/>
      <c r="AA56" s="6"/>
      <c r="AB56" s="1"/>
      <c r="AC56" s="6"/>
      <c r="AD56" s="6"/>
      <c r="AE56" s="6"/>
      <c r="AF56" s="6"/>
      <c r="AG56" s="6"/>
      <c r="AH56" s="6"/>
    </row>
    <row r="57" spans="1:34" x14ac:dyDescent="0.3">
      <c r="D57" s="41">
        <f t="shared" ref="D57:J57" si="8">SUM(D50:D56)</f>
        <v>21</v>
      </c>
      <c r="E57" s="41">
        <f t="shared" si="8"/>
        <v>35</v>
      </c>
      <c r="F57" s="41">
        <f t="shared" si="8"/>
        <v>875</v>
      </c>
      <c r="G57" s="92">
        <f t="shared" si="8"/>
        <v>12</v>
      </c>
      <c r="H57" s="92">
        <f t="shared" si="8"/>
        <v>8</v>
      </c>
      <c r="I57" s="92">
        <f t="shared" si="8"/>
        <v>10</v>
      </c>
      <c r="J57" s="41">
        <f t="shared" si="8"/>
        <v>30</v>
      </c>
      <c r="L57" s="1"/>
      <c r="M57" s="1"/>
      <c r="N57" s="1"/>
      <c r="O57" s="1"/>
      <c r="P57" s="1"/>
      <c r="Q57" s="1"/>
      <c r="U57" s="18"/>
      <c r="V57" s="18"/>
      <c r="W57" s="18"/>
      <c r="X57" s="18"/>
      <c r="Y57" s="18"/>
      <c r="Z57" s="18"/>
      <c r="AA57" s="18"/>
    </row>
    <row r="58" spans="1:34" x14ac:dyDescent="0.3">
      <c r="D58" s="18"/>
      <c r="L58" s="1"/>
      <c r="M58" s="1"/>
      <c r="N58" s="1"/>
      <c r="O58" s="1"/>
      <c r="P58" s="1"/>
      <c r="Q58" s="1"/>
    </row>
    <row r="59" spans="1:34" ht="14.4" customHeight="1" x14ac:dyDescent="0.3">
      <c r="R59" s="291" t="s">
        <v>398</v>
      </c>
      <c r="S59" s="290" t="s">
        <v>17</v>
      </c>
      <c r="T59" s="290" t="s">
        <v>18</v>
      </c>
      <c r="U59" s="290" t="s">
        <v>1</v>
      </c>
      <c r="V59" s="290"/>
      <c r="W59" s="290"/>
      <c r="X59" s="290" t="s">
        <v>2</v>
      </c>
      <c r="Y59" s="290"/>
      <c r="Z59" s="290"/>
      <c r="AA59" s="290"/>
      <c r="AB59" s="288" t="s">
        <v>19</v>
      </c>
      <c r="AC59" s="288" t="s">
        <v>20</v>
      </c>
      <c r="AD59" s="288" t="s">
        <v>21</v>
      </c>
      <c r="AE59" s="289" t="s">
        <v>111</v>
      </c>
      <c r="AF59" s="288" t="s">
        <v>22</v>
      </c>
      <c r="AG59" s="288" t="s">
        <v>98</v>
      </c>
      <c r="AH59" s="28"/>
    </row>
    <row r="60" spans="1:34" x14ac:dyDescent="0.3">
      <c r="R60" s="291"/>
      <c r="S60" s="290"/>
      <c r="T60" s="290"/>
      <c r="U60" s="16" t="s">
        <v>3</v>
      </c>
      <c r="V60" s="16" t="s">
        <v>4</v>
      </c>
      <c r="W60" s="16" t="s">
        <v>5</v>
      </c>
      <c r="X60" s="16" t="s">
        <v>6</v>
      </c>
      <c r="Y60" s="16" t="s">
        <v>7</v>
      </c>
      <c r="Z60" s="16" t="s">
        <v>8</v>
      </c>
      <c r="AA60" s="16" t="s">
        <v>9</v>
      </c>
      <c r="AB60" s="288"/>
      <c r="AC60" s="288"/>
      <c r="AD60" s="288"/>
      <c r="AE60" s="289"/>
      <c r="AF60" s="288"/>
      <c r="AG60" s="288"/>
      <c r="AH60" s="28"/>
    </row>
    <row r="61" spans="1:34" x14ac:dyDescent="0.3">
      <c r="N61" s="1"/>
      <c r="R61" s="291"/>
      <c r="S61" s="57" t="str">
        <f>'List of Courses'!B48</f>
        <v>CVL381</v>
      </c>
      <c r="T61" s="57" t="str">
        <f>'List of Courses'!C48</f>
        <v>Computer Applications in Civil Engineering</v>
      </c>
      <c r="U61" s="57">
        <f>'List of Courses'!D48</f>
        <v>3</v>
      </c>
      <c r="V61" s="57">
        <f>'List of Courses'!E48</f>
        <v>5</v>
      </c>
      <c r="W61" s="57">
        <f>'List of Courses'!F48</f>
        <v>125</v>
      </c>
      <c r="X61" s="57">
        <f>'List of Courses'!G48</f>
        <v>2</v>
      </c>
      <c r="Y61" s="57">
        <f>'List of Courses'!H48</f>
        <v>0</v>
      </c>
      <c r="Z61" s="57">
        <f>'List of Courses'!I48</f>
        <v>2</v>
      </c>
      <c r="AA61" s="57">
        <f>'List of Courses'!J48</f>
        <v>4</v>
      </c>
      <c r="AB61" s="57" t="str">
        <f>'List of Courses'!K48</f>
        <v>--</v>
      </c>
      <c r="AC61" s="57">
        <f>'List of Courses'!L48</f>
        <v>0</v>
      </c>
      <c r="AD61" s="57">
        <f>'List of Courses'!M48</f>
        <v>0</v>
      </c>
      <c r="AE61" s="57">
        <f>'List of Courses'!N48</f>
        <v>0</v>
      </c>
      <c r="AF61" s="57">
        <f>'List of Courses'!O48</f>
        <v>0</v>
      </c>
      <c r="AG61" s="57">
        <f>'List of Courses'!P48</f>
        <v>1</v>
      </c>
      <c r="AH61" s="1"/>
    </row>
    <row r="62" spans="1:34" x14ac:dyDescent="0.3">
      <c r="L62" s="1"/>
      <c r="M62" s="1"/>
      <c r="N62" s="1"/>
      <c r="O62" s="1"/>
      <c r="P62" s="1"/>
      <c r="Q62" s="1"/>
      <c r="R62" s="291"/>
      <c r="S62" s="57" t="str">
        <f>'List of Courses'!B67</f>
        <v>CVL481</v>
      </c>
      <c r="T62" s="57" t="str">
        <f>'List of Courses'!C67</f>
        <v>Advanced Surveying and GIS</v>
      </c>
      <c r="U62" s="57">
        <f>'List of Courses'!D67</f>
        <v>3</v>
      </c>
      <c r="V62" s="57">
        <f>'List of Courses'!E67</f>
        <v>5</v>
      </c>
      <c r="W62" s="57">
        <f>'List of Courses'!F67</f>
        <v>125</v>
      </c>
      <c r="X62" s="57">
        <f>'List of Courses'!G67</f>
        <v>1</v>
      </c>
      <c r="Y62" s="57">
        <f>'List of Courses'!H67</f>
        <v>2</v>
      </c>
      <c r="Z62" s="57">
        <f>'List of Courses'!I67</f>
        <v>2</v>
      </c>
      <c r="AA62" s="57">
        <f>'List of Courses'!J67</f>
        <v>5</v>
      </c>
      <c r="AB62" s="57" t="str">
        <f>'List of Courses'!K67</f>
        <v>CVL281</v>
      </c>
      <c r="AC62" s="57">
        <f>'List of Courses'!L67</f>
        <v>0</v>
      </c>
      <c r="AD62" s="57">
        <f>'List of Courses'!M67</f>
        <v>0</v>
      </c>
      <c r="AE62" s="57">
        <f>'List of Courses'!N67</f>
        <v>0</v>
      </c>
      <c r="AF62" s="57">
        <f>'List of Courses'!O67</f>
        <v>0</v>
      </c>
      <c r="AG62" s="57">
        <f>'List of Courses'!P67</f>
        <v>1</v>
      </c>
      <c r="AH62" s="1"/>
    </row>
    <row r="63" spans="1:34" x14ac:dyDescent="0.3">
      <c r="L63" s="1"/>
      <c r="M63" s="1"/>
      <c r="N63" s="1"/>
      <c r="O63" s="1"/>
      <c r="P63" s="1"/>
      <c r="Q63" s="1"/>
      <c r="R63" s="291"/>
      <c r="S63" s="57" t="str">
        <f>'List of Courses'!B53</f>
        <v>CVL413</v>
      </c>
      <c r="T63" s="57" t="str">
        <f>'List of Courses'!C53</f>
        <v>Repair and Strengthening of Buildings</v>
      </c>
      <c r="U63" s="57">
        <f>'List of Courses'!D53</f>
        <v>3</v>
      </c>
      <c r="V63" s="57">
        <f>'List of Courses'!E53</f>
        <v>5</v>
      </c>
      <c r="W63" s="57">
        <f>'List of Courses'!F53</f>
        <v>125</v>
      </c>
      <c r="X63" s="57">
        <f>'List of Courses'!G53</f>
        <v>2</v>
      </c>
      <c r="Y63" s="57">
        <f>'List of Courses'!H53</f>
        <v>2</v>
      </c>
      <c r="Z63" s="57">
        <f>'List of Courses'!I53</f>
        <v>0</v>
      </c>
      <c r="AA63" s="57">
        <f>'List of Courses'!J53</f>
        <v>4</v>
      </c>
      <c r="AB63" s="57" t="str">
        <f>'List of Courses'!K53</f>
        <v>CVL411</v>
      </c>
      <c r="AC63" s="57">
        <f>'List of Courses'!L53</f>
        <v>0</v>
      </c>
      <c r="AD63" s="57">
        <f>'List of Courses'!M53</f>
        <v>0</v>
      </c>
      <c r="AE63" s="57">
        <f>'List of Courses'!N53</f>
        <v>0</v>
      </c>
      <c r="AF63" s="57">
        <f>'List of Courses'!O53</f>
        <v>0</v>
      </c>
      <c r="AG63" s="57">
        <f>'List of Courses'!P53</f>
        <v>1</v>
      </c>
      <c r="AH63" s="1"/>
    </row>
    <row r="64" spans="1:34" x14ac:dyDescent="0.3">
      <c r="L64" s="1"/>
      <c r="M64" s="1"/>
      <c r="N64" s="1"/>
      <c r="O64" s="1"/>
      <c r="P64" s="1"/>
      <c r="Q64" s="1"/>
      <c r="R64" s="291"/>
      <c r="S64" s="57" t="str">
        <f>'List of Courses'!B55</f>
        <v>CVL422</v>
      </c>
      <c r="T64" s="57" t="str">
        <f>'List of Courses'!C55</f>
        <v>Quality Control of Smart Materials</v>
      </c>
      <c r="U64" s="57">
        <f>'List of Courses'!D55</f>
        <v>3</v>
      </c>
      <c r="V64" s="57">
        <f>'List of Courses'!E55</f>
        <v>5</v>
      </c>
      <c r="W64" s="57">
        <f>'List of Courses'!F55</f>
        <v>125</v>
      </c>
      <c r="X64" s="57">
        <f>'List of Courses'!G55</f>
        <v>2</v>
      </c>
      <c r="Y64" s="57">
        <f>'List of Courses'!H55</f>
        <v>2</v>
      </c>
      <c r="Z64" s="57">
        <f>'List of Courses'!I55</f>
        <v>0</v>
      </c>
      <c r="AA64" s="57">
        <f>'List of Courses'!J55</f>
        <v>4</v>
      </c>
      <c r="AB64" s="57" t="str">
        <f>'List of Courses'!K55</f>
        <v>--</v>
      </c>
      <c r="AC64" s="57">
        <f>'List of Courses'!L55</f>
        <v>0</v>
      </c>
      <c r="AD64" s="57">
        <f>'List of Courses'!M55</f>
        <v>0</v>
      </c>
      <c r="AE64" s="57">
        <f>'List of Courses'!N55</f>
        <v>0</v>
      </c>
      <c r="AF64" s="57">
        <f>'List of Courses'!O55</f>
        <v>0</v>
      </c>
      <c r="AG64" s="57">
        <f>'List of Courses'!P55</f>
        <v>1</v>
      </c>
      <c r="AH64" s="1"/>
    </row>
    <row r="65" spans="2:34" x14ac:dyDescent="0.3">
      <c r="Q65" s="1"/>
      <c r="R65" s="291"/>
      <c r="S65" s="57" t="str">
        <f>'List of Courses'!B60</f>
        <v>CVL435</v>
      </c>
      <c r="T65" s="57" t="str">
        <f>'List of Courses'!C60</f>
        <v>Real Estate &amp; Urban Planning Development</v>
      </c>
      <c r="U65" s="57">
        <f>'List of Courses'!D60</f>
        <v>3</v>
      </c>
      <c r="V65" s="57">
        <f>'List of Courses'!E60</f>
        <v>5</v>
      </c>
      <c r="W65" s="57">
        <f>'List of Courses'!F60</f>
        <v>125</v>
      </c>
      <c r="X65" s="57">
        <f>'List of Courses'!G60</f>
        <v>2</v>
      </c>
      <c r="Y65" s="57">
        <f>'List of Courses'!H60</f>
        <v>2</v>
      </c>
      <c r="Z65" s="57">
        <f>'List of Courses'!I60</f>
        <v>0</v>
      </c>
      <c r="AA65" s="57">
        <f>'List of Courses'!J60</f>
        <v>4</v>
      </c>
      <c r="AB65" s="57" t="str">
        <f>'List of Courses'!K60</f>
        <v>--</v>
      </c>
      <c r="AC65" s="57">
        <f>'List of Courses'!L60</f>
        <v>0</v>
      </c>
      <c r="AD65" s="57">
        <f>'List of Courses'!M60</f>
        <v>0</v>
      </c>
      <c r="AE65" s="57">
        <f>'List of Courses'!N60</f>
        <v>0</v>
      </c>
      <c r="AF65" s="57">
        <f>'List of Courses'!O60</f>
        <v>0</v>
      </c>
      <c r="AG65" s="57">
        <f>'List of Courses'!P60</f>
        <v>1</v>
      </c>
      <c r="AH65" s="1"/>
    </row>
    <row r="66" spans="2:34" x14ac:dyDescent="0.3">
      <c r="L66" s="1"/>
      <c r="M66" s="1"/>
      <c r="N66" s="1"/>
      <c r="O66" s="1"/>
      <c r="P66" s="1"/>
      <c r="Q66" s="1"/>
      <c r="R66" s="291"/>
      <c r="S66" s="57" t="str">
        <f>'List of Courses'!B61</f>
        <v>CVL436</v>
      </c>
      <c r="T66" s="57" t="str">
        <f>'List of Courses'!C61</f>
        <v xml:space="preserve">Principles of Management &amp; Human Resources  </v>
      </c>
      <c r="U66" s="57">
        <f>'List of Courses'!D61</f>
        <v>3</v>
      </c>
      <c r="V66" s="57">
        <f>'List of Courses'!E61</f>
        <v>5</v>
      </c>
      <c r="W66" s="57">
        <f>'List of Courses'!F61</f>
        <v>125</v>
      </c>
      <c r="X66" s="57">
        <f>'List of Courses'!G61</f>
        <v>2</v>
      </c>
      <c r="Y66" s="57">
        <f>'List of Courses'!H61</f>
        <v>2</v>
      </c>
      <c r="Z66" s="57">
        <f>'List of Courses'!I61</f>
        <v>0</v>
      </c>
      <c r="AA66" s="57">
        <f>'List of Courses'!J61</f>
        <v>4</v>
      </c>
      <c r="AB66" s="57" t="str">
        <f>'List of Courses'!K61</f>
        <v>--</v>
      </c>
      <c r="AC66" s="57">
        <f>'List of Courses'!L61</f>
        <v>0</v>
      </c>
      <c r="AD66" s="57">
        <f>'List of Courses'!M61</f>
        <v>0</v>
      </c>
      <c r="AE66" s="57">
        <f>'List of Courses'!N61</f>
        <v>0</v>
      </c>
      <c r="AF66" s="57">
        <f>'List of Courses'!O61</f>
        <v>0</v>
      </c>
      <c r="AG66" s="57">
        <f>'List of Courses'!P61</f>
        <v>1</v>
      </c>
      <c r="AH66" s="1"/>
    </row>
    <row r="67" spans="2:34" x14ac:dyDescent="0.3">
      <c r="L67" s="1"/>
      <c r="M67" s="1"/>
      <c r="N67" s="1"/>
      <c r="O67" s="1"/>
      <c r="P67" s="1"/>
      <c r="Q67" s="1"/>
      <c r="R67" s="291"/>
      <c r="S67" s="57" t="str">
        <f>'List of Courses'!B62</f>
        <v>CVL437</v>
      </c>
      <c r="T67" s="57" t="str">
        <f>'List of Courses'!C62</f>
        <v>Building Information Modeling</v>
      </c>
      <c r="U67" s="57">
        <f>'List of Courses'!D62</f>
        <v>3</v>
      </c>
      <c r="V67" s="57">
        <f>'List of Courses'!E62</f>
        <v>5</v>
      </c>
      <c r="W67" s="57">
        <f>'List of Courses'!F62</f>
        <v>125</v>
      </c>
      <c r="X67" s="57">
        <f>'List of Courses'!G62</f>
        <v>1</v>
      </c>
      <c r="Y67" s="57">
        <f>'List of Courses'!H62</f>
        <v>2</v>
      </c>
      <c r="Z67" s="57">
        <f>'List of Courses'!I62</f>
        <v>2</v>
      </c>
      <c r="AA67" s="57">
        <f>'List of Courses'!J62</f>
        <v>5</v>
      </c>
      <c r="AB67" s="57" t="str">
        <f>'List of Courses'!K62</f>
        <v>--</v>
      </c>
      <c r="AC67" s="57">
        <f>'List of Courses'!L62</f>
        <v>0</v>
      </c>
      <c r="AD67" s="57">
        <f>'List of Courses'!M62</f>
        <v>0</v>
      </c>
      <c r="AE67" s="57">
        <f>'List of Courses'!N62</f>
        <v>0</v>
      </c>
      <c r="AF67" s="57">
        <f>'List of Courses'!O62</f>
        <v>0</v>
      </c>
      <c r="AG67" s="57">
        <f>'List of Courses'!P62</f>
        <v>1</v>
      </c>
      <c r="AH67" s="1"/>
    </row>
    <row r="68" spans="2:34" x14ac:dyDescent="0.3">
      <c r="Q68" s="1"/>
      <c r="R68" s="291"/>
      <c r="S68" s="57" t="str">
        <f>'List of Courses'!B66</f>
        <v>CVL462</v>
      </c>
      <c r="T68" s="57" t="str">
        <f>'List of Courses'!C66</f>
        <v>GIS in Smart Structures and Systems</v>
      </c>
      <c r="U68" s="57">
        <f>'List of Courses'!D66</f>
        <v>3</v>
      </c>
      <c r="V68" s="57">
        <f>'List of Courses'!E66</f>
        <v>5</v>
      </c>
      <c r="W68" s="57">
        <f>'List of Courses'!F66</f>
        <v>125</v>
      </c>
      <c r="X68" s="57">
        <f>'List of Courses'!G66</f>
        <v>2</v>
      </c>
      <c r="Y68" s="57">
        <f>'List of Courses'!H66</f>
        <v>2</v>
      </c>
      <c r="Z68" s="57">
        <f>'List of Courses'!I66</f>
        <v>0</v>
      </c>
      <c r="AA68" s="57">
        <f>'List of Courses'!J66</f>
        <v>4</v>
      </c>
      <c r="AB68" s="57" t="str">
        <f>'List of Courses'!K66</f>
        <v>--</v>
      </c>
      <c r="AC68" s="57">
        <f>'List of Courses'!L66</f>
        <v>0</v>
      </c>
      <c r="AD68" s="57">
        <f>'List of Courses'!M66</f>
        <v>0</v>
      </c>
      <c r="AE68" s="57">
        <f>'List of Courses'!N66</f>
        <v>0</v>
      </c>
      <c r="AF68" s="57">
        <f>'List of Courses'!O66</f>
        <v>0</v>
      </c>
      <c r="AG68" s="57">
        <f>'List of Courses'!P66</f>
        <v>1</v>
      </c>
      <c r="AH68" s="1"/>
    </row>
    <row r="69" spans="2:34" x14ac:dyDescent="0.3">
      <c r="L69" s="1"/>
      <c r="M69" s="1"/>
      <c r="N69" s="1"/>
      <c r="O69" s="1"/>
      <c r="P69" s="1"/>
      <c r="Q69" s="1"/>
      <c r="R69" s="291"/>
      <c r="S69" s="57" t="str">
        <f>'List of Courses'!B70</f>
        <v>IND252</v>
      </c>
      <c r="T69" s="57" t="str">
        <f>'List of Courses'!C70</f>
        <v>Operation Research I</v>
      </c>
      <c r="U69" s="57">
        <f>'List of Courses'!D70</f>
        <v>3</v>
      </c>
      <c r="V69" s="57">
        <f>'List of Courses'!E70</f>
        <v>5</v>
      </c>
      <c r="W69" s="57">
        <f>'List of Courses'!F70</f>
        <v>125</v>
      </c>
      <c r="X69" s="57">
        <f>'List of Courses'!G70</f>
        <v>2</v>
      </c>
      <c r="Y69" s="57">
        <f>'List of Courses'!H70</f>
        <v>2</v>
      </c>
      <c r="Z69" s="57">
        <f>'List of Courses'!I70</f>
        <v>0</v>
      </c>
      <c r="AA69" s="57">
        <f>'List of Courses'!J70</f>
        <v>4</v>
      </c>
      <c r="AB69" s="57" t="str">
        <f>'List of Courses'!K70</f>
        <v>MTH214</v>
      </c>
      <c r="AC69" s="57">
        <f>'List of Courses'!L70</f>
        <v>0</v>
      </c>
      <c r="AD69" s="57">
        <f>'List of Courses'!M70</f>
        <v>0</v>
      </c>
      <c r="AE69" s="57">
        <f>'List of Courses'!N70</f>
        <v>0</v>
      </c>
      <c r="AF69" s="57">
        <f>'List of Courses'!O70</f>
        <v>0</v>
      </c>
      <c r="AG69" s="57">
        <f>'List of Courses'!P70</f>
        <v>1</v>
      </c>
      <c r="AH69" s="1"/>
    </row>
    <row r="70" spans="2:34" x14ac:dyDescent="0.3">
      <c r="L70" s="1"/>
      <c r="M70" s="1"/>
      <c r="N70" s="1"/>
      <c r="O70" s="1"/>
      <c r="P70" s="1"/>
      <c r="Q70" s="1"/>
      <c r="R70" s="76"/>
      <c r="AH70" s="1"/>
    </row>
    <row r="71" spans="2:34" x14ac:dyDescent="0.3">
      <c r="B71" s="21"/>
      <c r="C71" s="21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U71" s="18"/>
    </row>
    <row r="72" spans="2:34" x14ac:dyDescent="0.3">
      <c r="B72" s="21"/>
      <c r="C72" s="21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301" t="s">
        <v>399</v>
      </c>
      <c r="S72" s="290" t="s">
        <v>17</v>
      </c>
      <c r="T72" s="290" t="s">
        <v>18</v>
      </c>
      <c r="U72" s="290" t="s">
        <v>1</v>
      </c>
      <c r="V72" s="290"/>
      <c r="W72" s="290"/>
      <c r="X72" s="290" t="s">
        <v>2</v>
      </c>
      <c r="Y72" s="290"/>
      <c r="Z72" s="290"/>
      <c r="AA72" s="290"/>
      <c r="AB72" s="288" t="s">
        <v>19</v>
      </c>
      <c r="AC72" s="288" t="s">
        <v>20</v>
      </c>
      <c r="AD72" s="288" t="s">
        <v>21</v>
      </c>
      <c r="AE72" s="289" t="s">
        <v>111</v>
      </c>
      <c r="AF72" s="288" t="s">
        <v>22</v>
      </c>
      <c r="AG72" s="288" t="s">
        <v>98</v>
      </c>
    </row>
    <row r="73" spans="2:34" x14ac:dyDescent="0.3">
      <c r="B73" s="21"/>
      <c r="C73" s="21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302"/>
      <c r="S73" s="290"/>
      <c r="T73" s="290"/>
      <c r="U73" s="16" t="s">
        <v>3</v>
      </c>
      <c r="V73" s="16" t="s">
        <v>4</v>
      </c>
      <c r="W73" s="16" t="s">
        <v>5</v>
      </c>
      <c r="X73" s="16" t="s">
        <v>6</v>
      </c>
      <c r="Y73" s="16" t="s">
        <v>7</v>
      </c>
      <c r="Z73" s="16" t="s">
        <v>8</v>
      </c>
      <c r="AA73" s="16" t="s">
        <v>9</v>
      </c>
      <c r="AB73" s="288"/>
      <c r="AC73" s="288"/>
      <c r="AD73" s="288"/>
      <c r="AE73" s="289"/>
      <c r="AF73" s="288"/>
      <c r="AG73" s="288"/>
    </row>
    <row r="74" spans="2:34" x14ac:dyDescent="0.3">
      <c r="B74" s="21"/>
      <c r="C74" s="21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302"/>
      <c r="S74" s="57" t="str">
        <f>'List of Courses'!B16</f>
        <v>MTH317</v>
      </c>
      <c r="T74" s="111" t="str">
        <f>'List of Courses'!C16</f>
        <v>Introduction to Mathematical Optimization</v>
      </c>
      <c r="U74" s="57">
        <f>'List of Courses'!D16</f>
        <v>3</v>
      </c>
      <c r="V74" s="57">
        <f>'List of Courses'!E16</f>
        <v>5</v>
      </c>
      <c r="W74" s="57">
        <f>'List of Courses'!F16</f>
        <v>125</v>
      </c>
      <c r="X74" s="57">
        <f>'List of Courses'!G16</f>
        <v>2</v>
      </c>
      <c r="Y74" s="57">
        <f>'List of Courses'!H16</f>
        <v>2</v>
      </c>
      <c r="Z74" s="57">
        <f>'List of Courses'!I16</f>
        <v>0</v>
      </c>
      <c r="AA74" s="57">
        <f>'List of Courses'!J61</f>
        <v>4</v>
      </c>
      <c r="AB74" s="57" t="str">
        <f>'List of Courses'!K16</f>
        <v>MTH214</v>
      </c>
      <c r="AC74" s="57">
        <f>'List of Courses'!L16</f>
        <v>0</v>
      </c>
      <c r="AD74" s="57">
        <f>'List of Courses'!M16</f>
        <v>0</v>
      </c>
      <c r="AE74" s="57">
        <f>'List of Courses'!N16</f>
        <v>0</v>
      </c>
      <c r="AF74" s="57">
        <f>'List of Courses'!O16</f>
        <v>1</v>
      </c>
      <c r="AG74" s="57">
        <f>'List of Courses'!P16</f>
        <v>0</v>
      </c>
    </row>
    <row r="75" spans="2:34" x14ac:dyDescent="0.3">
      <c r="B75" s="21"/>
      <c r="C75" s="21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302"/>
      <c r="S75" s="57" t="str">
        <f>'List of Courses'!B17</f>
        <v>MTH318</v>
      </c>
      <c r="T75" s="111" t="str">
        <f>'List of Courses'!C17</f>
        <v>Advanced Numerical Analysis</v>
      </c>
      <c r="U75" s="57">
        <f>'List of Courses'!D17</f>
        <v>3</v>
      </c>
      <c r="V75" s="57">
        <f>'List of Courses'!E17</f>
        <v>5</v>
      </c>
      <c r="W75" s="57">
        <f>'List of Courses'!F17</f>
        <v>125</v>
      </c>
      <c r="X75" s="57">
        <f>'List of Courses'!G17</f>
        <v>2</v>
      </c>
      <c r="Y75" s="57">
        <f>'List of Courses'!H17</f>
        <v>2</v>
      </c>
      <c r="Z75" s="57">
        <f>'List of Courses'!I17</f>
        <v>0</v>
      </c>
      <c r="AA75" s="57">
        <f>'List of Courses'!J80</f>
        <v>0</v>
      </c>
      <c r="AB75" s="57" t="str">
        <f>'List of Courses'!K17</f>
        <v>MTH112 &amp; MTH113</v>
      </c>
      <c r="AC75" s="57">
        <f>'List of Courses'!L17</f>
        <v>0</v>
      </c>
      <c r="AD75" s="57">
        <f>'List of Courses'!M17</f>
        <v>0</v>
      </c>
      <c r="AE75" s="57">
        <f>'List of Courses'!N17</f>
        <v>0</v>
      </c>
      <c r="AF75" s="57">
        <f>'List of Courses'!O17</f>
        <v>1</v>
      </c>
      <c r="AG75" s="57">
        <f>'List of Courses'!P17</f>
        <v>0</v>
      </c>
    </row>
    <row r="76" spans="2:34" x14ac:dyDescent="0.3">
      <c r="B76" s="21"/>
      <c r="C76" s="21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303"/>
      <c r="S76" s="57" t="str">
        <f>'List of Courses'!B18</f>
        <v>MTH319</v>
      </c>
      <c r="T76" s="111" t="str">
        <f>'List of Courses'!C18</f>
        <v>Advanced Probability and Statistics</v>
      </c>
      <c r="U76" s="57">
        <f>'List of Courses'!D18</f>
        <v>3</v>
      </c>
      <c r="V76" s="57">
        <f>'List of Courses'!E18</f>
        <v>5</v>
      </c>
      <c r="W76" s="57">
        <f>'List of Courses'!F18</f>
        <v>125</v>
      </c>
      <c r="X76" s="57">
        <f>'List of Courses'!G18</f>
        <v>2</v>
      </c>
      <c r="Y76" s="57">
        <f>'List of Courses'!H18</f>
        <v>2</v>
      </c>
      <c r="Z76" s="57">
        <f>'List of Courses'!I18</f>
        <v>0</v>
      </c>
      <c r="AA76" s="57">
        <f>'List of Courses'!J66</f>
        <v>4</v>
      </c>
      <c r="AB76" s="57" t="str">
        <f>'List of Courses'!K18</f>
        <v>MTH216</v>
      </c>
      <c r="AC76" s="57">
        <f>'List of Courses'!L18</f>
        <v>0</v>
      </c>
      <c r="AD76" s="57">
        <f>'List of Courses'!M18</f>
        <v>0</v>
      </c>
      <c r="AE76" s="57">
        <f>'List of Courses'!N18</f>
        <v>0</v>
      </c>
      <c r="AF76" s="57">
        <f>'List of Courses'!O18</f>
        <v>1</v>
      </c>
      <c r="AG76" s="57">
        <f>'List of Courses'!P18</f>
        <v>0</v>
      </c>
    </row>
    <row r="80" spans="2:34" x14ac:dyDescent="0.3">
      <c r="D80" s="14"/>
      <c r="E80" s="14"/>
      <c r="F80" s="14"/>
      <c r="G80" s="14"/>
      <c r="H80" s="14"/>
      <c r="I80" s="14"/>
      <c r="J80" s="14"/>
      <c r="K80" s="15"/>
      <c r="L80" s="6"/>
      <c r="M80" s="6"/>
      <c r="N80" s="6"/>
      <c r="O80" s="6"/>
      <c r="P80" s="6"/>
      <c r="Q80" s="6"/>
    </row>
    <row r="81" spans="4:17" x14ac:dyDescent="0.3">
      <c r="D81" s="14"/>
      <c r="E81" s="14"/>
      <c r="F81" s="14"/>
      <c r="G81" s="14"/>
      <c r="H81" s="14"/>
      <c r="I81" s="14"/>
      <c r="J81" s="14"/>
      <c r="K81" s="15"/>
      <c r="L81" s="6"/>
      <c r="M81" s="6"/>
      <c r="N81" s="6"/>
      <c r="O81" s="6"/>
      <c r="P81" s="6"/>
      <c r="Q81" s="6"/>
    </row>
  </sheetData>
  <mergeCells count="113">
    <mergeCell ref="AF72:AF73"/>
    <mergeCell ref="AG72:AG73"/>
    <mergeCell ref="R72:R76"/>
    <mergeCell ref="S72:S73"/>
    <mergeCell ref="T72:T73"/>
    <mergeCell ref="U72:W72"/>
    <mergeCell ref="X72:AA72"/>
    <mergeCell ref="AB72:AB73"/>
    <mergeCell ref="AC72:AC73"/>
    <mergeCell ref="AD72:AD73"/>
    <mergeCell ref="AE72:AE73"/>
    <mergeCell ref="N12:N13"/>
    <mergeCell ref="C2:C3"/>
    <mergeCell ref="D2:F2"/>
    <mergeCell ref="G2:J2"/>
    <mergeCell ref="K2:K3"/>
    <mergeCell ref="L2:L3"/>
    <mergeCell ref="M2:M3"/>
    <mergeCell ref="AF12:AF13"/>
    <mergeCell ref="AG12:AG13"/>
    <mergeCell ref="S2:AH5"/>
    <mergeCell ref="AH12:AH13"/>
    <mergeCell ref="AB12:AB13"/>
    <mergeCell ref="AC12:AC13"/>
    <mergeCell ref="AD12:AD13"/>
    <mergeCell ref="AE12:AE13"/>
    <mergeCell ref="U12:W12"/>
    <mergeCell ref="X12:AA12"/>
    <mergeCell ref="O12:O13"/>
    <mergeCell ref="P12:P13"/>
    <mergeCell ref="Q12:Q13"/>
    <mergeCell ref="R12:R21"/>
    <mergeCell ref="S12:S13"/>
    <mergeCell ref="T12:T13"/>
    <mergeCell ref="A12:A21"/>
    <mergeCell ref="B12:B13"/>
    <mergeCell ref="C12:C13"/>
    <mergeCell ref="D12:F12"/>
    <mergeCell ref="G12:J12"/>
    <mergeCell ref="K12:K13"/>
    <mergeCell ref="L12:L13"/>
    <mergeCell ref="M12:M13"/>
    <mergeCell ref="A36:A45"/>
    <mergeCell ref="B36:B37"/>
    <mergeCell ref="C36:C37"/>
    <mergeCell ref="D36:F36"/>
    <mergeCell ref="G36:J36"/>
    <mergeCell ref="U24:W24"/>
    <mergeCell ref="X24:AA24"/>
    <mergeCell ref="A24:A33"/>
    <mergeCell ref="B24:B25"/>
    <mergeCell ref="C24:C25"/>
    <mergeCell ref="D24:F24"/>
    <mergeCell ref="G24:J24"/>
    <mergeCell ref="K36:K37"/>
    <mergeCell ref="L36:L37"/>
    <mergeCell ref="M36:M37"/>
    <mergeCell ref="K24:K25"/>
    <mergeCell ref="L24:L25"/>
    <mergeCell ref="N36:N37"/>
    <mergeCell ref="O36:O37"/>
    <mergeCell ref="P36:P37"/>
    <mergeCell ref="M24:M25"/>
    <mergeCell ref="N24:N25"/>
    <mergeCell ref="O24:O25"/>
    <mergeCell ref="P24:P25"/>
    <mergeCell ref="Q24:Q25"/>
    <mergeCell ref="R24:R33"/>
    <mergeCell ref="X36:AA36"/>
    <mergeCell ref="AD24:AD25"/>
    <mergeCell ref="AE24:AE25"/>
    <mergeCell ref="O48:O49"/>
    <mergeCell ref="P48:P49"/>
    <mergeCell ref="Q48:Q49"/>
    <mergeCell ref="AH36:AH37"/>
    <mergeCell ref="AB36:AB37"/>
    <mergeCell ref="AC36:AC37"/>
    <mergeCell ref="AD36:AD37"/>
    <mergeCell ref="AE36:AE37"/>
    <mergeCell ref="AF36:AF37"/>
    <mergeCell ref="AG36:AG37"/>
    <mergeCell ref="Q36:Q37"/>
    <mergeCell ref="R36:R45"/>
    <mergeCell ref="S36:S37"/>
    <mergeCell ref="T36:T37"/>
    <mergeCell ref="U36:W36"/>
    <mergeCell ref="AF24:AF25"/>
    <mergeCell ref="AG24:AG25"/>
    <mergeCell ref="AH24:AH25"/>
    <mergeCell ref="AB24:AB25"/>
    <mergeCell ref="AC24:AC25"/>
    <mergeCell ref="S24:S25"/>
    <mergeCell ref="T24:T25"/>
    <mergeCell ref="R59:R69"/>
    <mergeCell ref="A48:A56"/>
    <mergeCell ref="B48:B49"/>
    <mergeCell ref="C48:C49"/>
    <mergeCell ref="D48:F48"/>
    <mergeCell ref="G48:J48"/>
    <mergeCell ref="K48:K49"/>
    <mergeCell ref="L48:L49"/>
    <mergeCell ref="M48:M49"/>
    <mergeCell ref="N48:N49"/>
    <mergeCell ref="AD59:AD60"/>
    <mergeCell ref="AE59:AE60"/>
    <mergeCell ref="AF59:AF60"/>
    <mergeCell ref="AG59:AG60"/>
    <mergeCell ref="S59:S60"/>
    <mergeCell ref="T59:T60"/>
    <mergeCell ref="U59:W59"/>
    <mergeCell ref="X59:AA59"/>
    <mergeCell ref="AB59:AB60"/>
    <mergeCell ref="AC59:AC60"/>
  </mergeCells>
  <conditionalFormatting sqref="D22">
    <cfRule type="cellIs" dxfId="153" priority="33" operator="greaterThan">
      <formula>18</formula>
    </cfRule>
  </conditionalFormatting>
  <conditionalFormatting sqref="D34">
    <cfRule type="cellIs" dxfId="152" priority="25" operator="greaterThan">
      <formula>18</formula>
    </cfRule>
  </conditionalFormatting>
  <conditionalFormatting sqref="D46">
    <cfRule type="cellIs" dxfId="151" priority="27" operator="greaterThan">
      <formula>18</formula>
    </cfRule>
  </conditionalFormatting>
  <conditionalFormatting sqref="D57">
    <cfRule type="cellIs" dxfId="150" priority="1" operator="greaterThan">
      <formula>18</formula>
    </cfRule>
  </conditionalFormatting>
  <conditionalFormatting sqref="E22">
    <cfRule type="cellIs" dxfId="149" priority="34" operator="greaterThan">
      <formula>30</formula>
    </cfRule>
  </conditionalFormatting>
  <conditionalFormatting sqref="E34">
    <cfRule type="cellIs" dxfId="148" priority="26" operator="greaterThan">
      <formula>30</formula>
    </cfRule>
  </conditionalFormatting>
  <conditionalFormatting sqref="E46">
    <cfRule type="cellIs" dxfId="147" priority="28" operator="greaterThan">
      <formula>30</formula>
    </cfRule>
  </conditionalFormatting>
  <conditionalFormatting sqref="E57">
    <cfRule type="cellIs" dxfId="146" priority="2" operator="greaterThan">
      <formula>30</formula>
    </cfRule>
  </conditionalFormatting>
  <conditionalFormatting sqref="F22">
    <cfRule type="cellIs" dxfId="145" priority="42" operator="greaterThan">
      <formula>750</formula>
    </cfRule>
  </conditionalFormatting>
  <conditionalFormatting sqref="F34">
    <cfRule type="cellIs" dxfId="144" priority="40" operator="greaterThan">
      <formula>750</formula>
    </cfRule>
  </conditionalFormatting>
  <conditionalFormatting sqref="F46">
    <cfRule type="cellIs" dxfId="143" priority="38" operator="greaterThan">
      <formula>750</formula>
    </cfRule>
  </conditionalFormatting>
  <conditionalFormatting sqref="F57">
    <cfRule type="cellIs" dxfId="142" priority="3" operator="greaterThan">
      <formula>750</formula>
    </cfRule>
  </conditionalFormatting>
  <conditionalFormatting sqref="J22">
    <cfRule type="cellIs" dxfId="141" priority="50" operator="greaterThan">
      <formula>25</formula>
    </cfRule>
  </conditionalFormatting>
  <conditionalFormatting sqref="J34">
    <cfRule type="cellIs" dxfId="140" priority="49" operator="greaterThan">
      <formula>25</formula>
    </cfRule>
  </conditionalFormatting>
  <conditionalFormatting sqref="J46">
    <cfRule type="cellIs" dxfId="139" priority="48" operator="greaterThan">
      <formula>25</formula>
    </cfRule>
  </conditionalFormatting>
  <conditionalFormatting sqref="J57">
    <cfRule type="cellIs" dxfId="138" priority="4" operator="greaterThan">
      <formula>25</formula>
    </cfRule>
  </conditionalFormatting>
  <conditionalFormatting sqref="M4">
    <cfRule type="cellIs" dxfId="137" priority="18" operator="lessThan">
      <formula>$L$4</formula>
    </cfRule>
  </conditionalFormatting>
  <conditionalFormatting sqref="M5">
    <cfRule type="cellIs" dxfId="136" priority="17" operator="lessThan">
      <formula>$L$5</formula>
    </cfRule>
  </conditionalFormatting>
  <conditionalFormatting sqref="M6">
    <cfRule type="cellIs" dxfId="135" priority="16" operator="lessThan">
      <formula>$L$6</formula>
    </cfRule>
  </conditionalFormatting>
  <conditionalFormatting sqref="M7">
    <cfRule type="cellIs" dxfId="134" priority="15" operator="lessThan">
      <formula>$L$7</formula>
    </cfRule>
  </conditionalFormatting>
  <conditionalFormatting sqref="M8">
    <cfRule type="cellIs" dxfId="133" priority="14" operator="greaterThan">
      <formula>$L$8</formula>
    </cfRule>
  </conditionalFormatting>
  <conditionalFormatting sqref="M9">
    <cfRule type="cellIs" dxfId="132" priority="13" operator="lessThan">
      <formula>$L$9</formula>
    </cfRule>
  </conditionalFormatting>
  <conditionalFormatting sqref="U22">
    <cfRule type="cellIs" dxfId="131" priority="31" operator="greaterThan">
      <formula>18</formula>
    </cfRule>
  </conditionalFormatting>
  <conditionalFormatting sqref="U34">
    <cfRule type="cellIs" dxfId="130" priority="23" operator="greaterThan">
      <formula>18</formula>
    </cfRule>
  </conditionalFormatting>
  <conditionalFormatting sqref="U46">
    <cfRule type="cellIs" dxfId="129" priority="9" operator="greaterThan">
      <formula>18</formula>
    </cfRule>
  </conditionalFormatting>
  <conditionalFormatting sqref="U57">
    <cfRule type="cellIs" dxfId="128" priority="19" operator="greaterThan">
      <formula>18</formula>
    </cfRule>
  </conditionalFormatting>
  <conditionalFormatting sqref="V22">
    <cfRule type="cellIs" dxfId="127" priority="32" operator="greaterThan">
      <formula>30</formula>
    </cfRule>
  </conditionalFormatting>
  <conditionalFormatting sqref="V34">
    <cfRule type="cellIs" dxfId="126" priority="24" operator="greaterThan">
      <formula>30</formula>
    </cfRule>
  </conditionalFormatting>
  <conditionalFormatting sqref="V46">
    <cfRule type="cellIs" dxfId="125" priority="10" operator="greaterThan">
      <formula>30</formula>
    </cfRule>
  </conditionalFormatting>
  <conditionalFormatting sqref="V57">
    <cfRule type="cellIs" dxfId="124" priority="20" operator="greaterThan">
      <formula>30</formula>
    </cfRule>
  </conditionalFormatting>
  <conditionalFormatting sqref="W22">
    <cfRule type="cellIs" dxfId="123" priority="41" operator="greaterThan">
      <formula>750</formula>
    </cfRule>
  </conditionalFormatting>
  <conditionalFormatting sqref="W34">
    <cfRule type="cellIs" dxfId="122" priority="39" operator="greaterThan">
      <formula>750</formula>
    </cfRule>
  </conditionalFormatting>
  <conditionalFormatting sqref="W46">
    <cfRule type="cellIs" dxfId="121" priority="11" operator="greaterThan">
      <formula>750</formula>
    </cfRule>
  </conditionalFormatting>
  <conditionalFormatting sqref="W57">
    <cfRule type="cellIs" dxfId="120" priority="35" operator="greaterThan">
      <formula>750</formula>
    </cfRule>
  </conditionalFormatting>
  <conditionalFormatting sqref="AA22">
    <cfRule type="cellIs" dxfId="119" priority="43" operator="greaterThan">
      <formula>25</formula>
    </cfRule>
  </conditionalFormatting>
  <conditionalFormatting sqref="AA34">
    <cfRule type="cellIs" dxfId="118" priority="44" operator="greaterThan">
      <formula>25</formula>
    </cfRule>
  </conditionalFormatting>
  <conditionalFormatting sqref="AA46">
    <cfRule type="cellIs" dxfId="117" priority="12" operator="greaterThan">
      <formula>25</formula>
    </cfRule>
  </conditionalFormatting>
  <conditionalFormatting sqref="AA57">
    <cfRule type="cellIs" dxfId="116" priority="46" operator="greaterThan">
      <formula>25</formula>
    </cfRule>
  </conditionalFormatting>
  <printOptions horizontalCentered="1" verticalCentered="1"/>
  <pageMargins left="0.16" right="0.25" top="0.16" bottom="0.16" header="0.16" footer="0.16"/>
  <pageSetup paperSize="9" scale="41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087E4-25F2-40D2-A0A7-B82CF0BD25B2}">
  <sheetPr>
    <tabColor rgb="FFFFC000"/>
    <pageSetUpPr fitToPage="1"/>
  </sheetPr>
  <dimension ref="A2:AQ76"/>
  <sheetViews>
    <sheetView topLeftCell="A20" zoomScale="50" zoomScaleNormal="50" workbookViewId="0">
      <selection activeCell="AM56" sqref="AM56"/>
    </sheetView>
  </sheetViews>
  <sheetFormatPr defaultRowHeight="14.4" x14ac:dyDescent="0.3"/>
  <cols>
    <col min="1" max="1" width="8.88671875" customWidth="1"/>
    <col min="3" max="3" width="49.6640625" customWidth="1"/>
    <col min="5" max="5" width="6.33203125" customWidth="1"/>
    <col min="6" max="6" width="7.33203125" bestFit="1" customWidth="1"/>
    <col min="7" max="8" width="7.6640625" customWidth="1"/>
    <col min="9" max="9" width="7.33203125" customWidth="1"/>
    <col min="10" max="10" width="7.109375" customWidth="1"/>
    <col min="11" max="11" width="11.6640625" customWidth="1"/>
    <col min="12" max="12" width="8.77734375" bestFit="1" customWidth="1"/>
    <col min="13" max="13" width="9.77734375" customWidth="1"/>
    <col min="14" max="14" width="6.88671875" customWidth="1"/>
    <col min="15" max="15" width="6.21875" customWidth="1"/>
    <col min="16" max="16" width="6.33203125" customWidth="1"/>
    <col min="17" max="17" width="6.77734375" customWidth="1"/>
    <col min="20" max="20" width="53.33203125" customWidth="1"/>
    <col min="22" max="22" width="6.33203125" bestFit="1" customWidth="1"/>
    <col min="23" max="23" width="7.33203125" customWidth="1"/>
    <col min="24" max="25" width="8.88671875" customWidth="1"/>
    <col min="26" max="26" width="8.109375" customWidth="1"/>
    <col min="27" max="27" width="8.88671875" customWidth="1"/>
    <col min="31" max="31" width="8" customWidth="1"/>
    <col min="39" max="39" width="11.21875" customWidth="1"/>
    <col min="40" max="40" width="8.77734375" customWidth="1"/>
    <col min="41" max="41" width="36.5546875" bestFit="1" customWidth="1"/>
    <col min="42" max="42" width="4.5546875" bestFit="1" customWidth="1"/>
    <col min="43" max="43" width="9.21875" bestFit="1" customWidth="1"/>
  </cols>
  <sheetData>
    <row r="2" spans="1:43" ht="21" customHeight="1" x14ac:dyDescent="0.3">
      <c r="A2" s="22"/>
      <c r="B2" s="112"/>
      <c r="C2" s="307" t="s">
        <v>0</v>
      </c>
      <c r="D2" s="309" t="s">
        <v>1</v>
      </c>
      <c r="E2" s="309"/>
      <c r="F2" s="309"/>
      <c r="G2" s="309" t="s">
        <v>2</v>
      </c>
      <c r="H2" s="309"/>
      <c r="I2" s="309"/>
      <c r="J2" s="309"/>
      <c r="K2" s="309" t="s">
        <v>82</v>
      </c>
      <c r="L2" s="309" t="s">
        <v>81</v>
      </c>
      <c r="M2" s="309" t="s">
        <v>83</v>
      </c>
      <c r="R2" s="82"/>
      <c r="S2" s="300" t="s">
        <v>374</v>
      </c>
      <c r="T2" s="300"/>
      <c r="U2" s="300"/>
      <c r="V2" s="300"/>
      <c r="W2" s="300"/>
      <c r="X2" s="300"/>
      <c r="Y2" s="300"/>
      <c r="Z2" s="300"/>
      <c r="AA2" s="300"/>
      <c r="AB2" s="300"/>
      <c r="AC2" s="300"/>
      <c r="AD2" s="300"/>
      <c r="AE2" s="300"/>
      <c r="AF2" s="300"/>
      <c r="AG2" s="300"/>
      <c r="AH2" s="300"/>
    </row>
    <row r="3" spans="1:43" ht="14.4" customHeight="1" x14ac:dyDescent="0.3">
      <c r="A3" s="22"/>
      <c r="B3" s="112"/>
      <c r="C3" s="308"/>
      <c r="D3" s="113" t="s">
        <v>3</v>
      </c>
      <c r="E3" s="113" t="s">
        <v>4</v>
      </c>
      <c r="F3" s="113" t="s">
        <v>5</v>
      </c>
      <c r="G3" s="113" t="s">
        <v>6</v>
      </c>
      <c r="H3" s="113" t="s">
        <v>7</v>
      </c>
      <c r="I3" s="113" t="s">
        <v>8</v>
      </c>
      <c r="J3" s="113" t="s">
        <v>9</v>
      </c>
      <c r="K3" s="310"/>
      <c r="L3" s="310"/>
      <c r="M3" s="310"/>
      <c r="Q3" s="82"/>
      <c r="R3" s="82"/>
      <c r="S3" s="300"/>
      <c r="T3" s="300"/>
      <c r="U3" s="300"/>
      <c r="V3" s="300"/>
      <c r="W3" s="300"/>
      <c r="X3" s="300"/>
      <c r="Y3" s="300"/>
      <c r="Z3" s="300"/>
      <c r="AA3" s="300"/>
      <c r="AB3" s="300"/>
      <c r="AC3" s="300"/>
      <c r="AD3" s="300"/>
      <c r="AE3" s="300"/>
      <c r="AF3" s="300"/>
      <c r="AG3" s="300"/>
      <c r="AH3" s="300"/>
    </row>
    <row r="4" spans="1:43" ht="14.4" customHeight="1" x14ac:dyDescent="0.3">
      <c r="A4" s="22"/>
      <c r="B4" s="114"/>
      <c r="C4" s="115" t="s">
        <v>10</v>
      </c>
      <c r="D4" s="116" cm="1">
        <f t="array" ref="D4">SUM(SUM(D14:D21*$L14:$L21),SUM(U14:U21*$AC14:$AC21), SUM(D26:D33*$L26:$L33), SUM(U26:U33*$AC26:$AC33), SUM(D38:D45*$L38:$L45), SUM(U38:U45*$AC38:$AC45),SUM(D50:D56*$L50:$L56), SUM(U50:U56*$AC50:$AC56))</f>
        <v>12</v>
      </c>
      <c r="E4" s="116" cm="1">
        <f t="array" ref="E4">SUM(SUM(E14:E21*$L14:$L21),SUM(V14:V21*$AC14:$AC21), SUM(E26:E33*$L26:$L33), SUM(V26:V33*$AC26:$AC33), SUM(E38:E45*$L38:$L45), SUM(V38:V45*$AC38:$AC45),SUM(E50:E56*$L50:$L56), SUM(V50:V56*$AC50:$AC56))</f>
        <v>20</v>
      </c>
      <c r="F4" s="116" cm="1">
        <f t="array" ref="F4">SUM(SUM(F14:F21*$L14:$L21),SUM(W14:W21*$AC14:$AC21), SUM(F26:F33*$L26:$L33), SUM(W26:W33*$AC26:$AC33), SUM(F38:F45*$L38:$L45), SUM(W38:W45*$AC38:$AC45),SUM(F50:F56*$L50:$L56), SUM(W50:W56*$AC50:$AC56))</f>
        <v>500</v>
      </c>
      <c r="G4" s="116" cm="1">
        <f t="array" ref="G4">SUM(SUM(G14:G21*$L14:$L21),SUM(X14:X21*$AC14:$AC21), SUM(G26:G33*$L26:$L33), SUM(X26:X33*$AC26:$AC33), SUM(G38:G45*$L38:$L45), SUM(X38:X45*$AC38:$AC45),SUM(G50:G56*$L50:$L56), SUM(X50:X56*$AC50:$AC56))</f>
        <v>10</v>
      </c>
      <c r="H4" s="116" cm="1">
        <f t="array" ref="H4">SUM(SUM(H14:H21*$L14:$L21),SUM(Y14:Y21*$AC14:$AC21), SUM(H26:H33*$L26:$L33), SUM(Y26:Y33*$AC26:$AC33), SUM(H38:H45*$L38:$L45), SUM(Y38:Y45*$AC38:$AC45),SUM(H50:H56*$L50:$L56), SUM(Y50:Y56*$AC50:$AC56))</f>
        <v>2</v>
      </c>
      <c r="I4" s="116" cm="1">
        <f t="array" ref="I4">SUM(SUM(I14:I21*$L14:$L21),SUM(Z14:Z21*$AC14:$AC21), SUM(I26:I33*$L26:$L33), SUM(Z26:Z33*$AC26:$AC33), SUM(I38:I45*$L38:$L45), SUM(Z38:Z45*$AC38:$AC45),SUM(I50:I56*$L50:$L56), SUM(Z50:Z56*$AC50:$AC56))</f>
        <v>2</v>
      </c>
      <c r="J4" s="116" cm="1">
        <f t="array" ref="J4">SUM(SUM(J14:J21*$L14:$L21),SUM(AA14:AA21*$AC14:$AC21), SUM(J26:J33*$L26:$L33), SUM(AA26:AA33*$AC26:$AC33), SUM(J38:J45*$L38:$L45), SUM(AA38:AA45*$AC38:$AC45),SUM(J50:J56*$L50:$L56), SUM(AA50:AA56*$AC50:$AC56))</f>
        <v>14</v>
      </c>
      <c r="K4" s="116" t="s">
        <v>11</v>
      </c>
      <c r="L4" s="117">
        <v>0.08</v>
      </c>
      <c r="M4" s="118">
        <f t="shared" ref="M4:M9" si="0">D4/$D$10</f>
        <v>8.3333333333333329E-2</v>
      </c>
      <c r="Q4" s="82"/>
      <c r="R4" s="82"/>
      <c r="S4" s="300"/>
      <c r="T4" s="300"/>
      <c r="U4" s="300"/>
      <c r="V4" s="300"/>
      <c r="W4" s="300"/>
      <c r="X4" s="300"/>
      <c r="Y4" s="300"/>
      <c r="Z4" s="300"/>
      <c r="AA4" s="300"/>
      <c r="AB4" s="300"/>
      <c r="AC4" s="300"/>
      <c r="AD4" s="300"/>
      <c r="AE4" s="300"/>
      <c r="AF4" s="300"/>
      <c r="AG4" s="300"/>
      <c r="AH4" s="300"/>
    </row>
    <row r="5" spans="1:43" ht="14.4" customHeight="1" x14ac:dyDescent="0.3">
      <c r="A5" s="22"/>
      <c r="B5" s="114"/>
      <c r="C5" s="119" t="s">
        <v>12</v>
      </c>
      <c r="D5" s="120" cm="1">
        <f t="array" ref="D5">SUM(SUM(D14:D21*$M14:$M21),SUM(U14:U21*$AD14:$AD21), SUM(D26:D33*$M26:$M33), SUM(U26:U33*$AD26:$AD33), SUM(D38:D45*$M38:$M45), SUM(U38:U45*$AD38:$AD45),SUM(D50:D56*$M50:$M56), SUM(U50:U56*$AD50:$AD56))</f>
        <v>30</v>
      </c>
      <c r="E5" s="120" cm="1">
        <f t="array" ref="E5">SUM(SUM(E14:E21*$M14:$M21),SUM(V14:V21*$AD14:$AD21), SUM(E26:E33*$M26:$M33), SUM(V26:V33*$AD26:$AD33), SUM(E38:E45*$M38:$M45), SUM(V38:V45*$AD38:$AD45),SUM(E50:E56*$M50:$M56), SUM(V50:V56*$AD50:$AD56))</f>
        <v>50</v>
      </c>
      <c r="F5" s="120" cm="1">
        <f t="array" ref="F5">SUM(SUM(F14:F21*$M14:$M21),SUM(W14:W21*$AD14:$AD21), SUM(F26:F33*$M26:$M33), SUM(W26:W33*$AD26:$AD33), SUM(F38:F45*$M38:$M45), SUM(W38:W45*$AD38:$AD45),SUM(F50:F56*$M50:$M56), SUM(W50:W56*$AD50:$AD56))</f>
        <v>1250</v>
      </c>
      <c r="G5" s="120" cm="1">
        <f t="array" ref="G5">SUM(SUM(G14:G21*$M14:$M21),SUM(X14:X21*$AD14:$AD21), SUM(G26:G33*$M26:$M33), SUM(X26:X33*$AD26:$AD33), SUM(G38:G45*$M38:$M45), SUM(X38:X45*$AD38:$AD45),SUM(G50:G56*$M50:$M56), SUM(X50:X56*$AD50:$AD56))</f>
        <v>20</v>
      </c>
      <c r="H5" s="120" cm="1">
        <f t="array" ref="H5">SUM(SUM(H14:H21*$M14:$M21),SUM(Y14:Y21*$AD14:$AD21), SUM(H26:H33*$M26:$M33), SUM(Y26:Y33*$AD26:$AD33), SUM(H38:H45*$M38:$M45), SUM(Y38:Y45*$AD38:$AD45),SUM(H50:H56*$M50:$M56), SUM(Y50:Y56*$AD50:$AD56))</f>
        <v>16</v>
      </c>
      <c r="I5" s="120" cm="1">
        <f t="array" ref="I5">SUM(SUM(I14:I21*$M14:$M21),SUM(Z14:Z21*$AD14:$AD21), SUM(I26:I33*$M26:$M33), SUM(Z26:Z33*$AD26:$AD33), SUM(I38:I45*$M38:$M45), SUM(Z38:Z45*$AD38:$AD45),SUM(I50:I56*$M50:$M56), SUM(Z50:Z56*$AD50:$AD56))</f>
        <v>5</v>
      </c>
      <c r="J5" s="120" cm="1">
        <f t="array" ref="J5">SUM(SUM(J14:J21*$M14:$M21),SUM(AA14:AA21*$AD14:$AD21), SUM(J26:J33*$M26:$M33), SUM(AA26:AA33*$AD26:$AD33), SUM(J38:J45*$M38:$M45), SUM(AA38:AA45*$AD38:$AD45),SUM(J50:J56*$M50:$M56), SUM(AA50:AA56*$AD50:$AD56))</f>
        <v>41</v>
      </c>
      <c r="K5" s="120" t="s">
        <v>13</v>
      </c>
      <c r="L5" s="121">
        <v>0.2</v>
      </c>
      <c r="M5" s="122">
        <f t="shared" si="0"/>
        <v>0.20833333333333334</v>
      </c>
      <c r="Q5" s="82"/>
      <c r="R5" s="82"/>
      <c r="S5" s="300"/>
      <c r="T5" s="300"/>
      <c r="U5" s="300"/>
      <c r="V5" s="300"/>
      <c r="W5" s="300"/>
      <c r="X5" s="300"/>
      <c r="Y5" s="300"/>
      <c r="Z5" s="300"/>
      <c r="AA5" s="300"/>
      <c r="AB5" s="300"/>
      <c r="AC5" s="300"/>
      <c r="AD5" s="300"/>
      <c r="AE5" s="300"/>
      <c r="AF5" s="300"/>
      <c r="AG5" s="300"/>
      <c r="AH5" s="300"/>
    </row>
    <row r="6" spans="1:43" x14ac:dyDescent="0.3">
      <c r="A6" s="22"/>
      <c r="B6" s="114"/>
      <c r="C6" s="123" t="s">
        <v>14</v>
      </c>
      <c r="D6" s="124" cm="1">
        <f t="array" ref="D6">SUM(SUM(D14:D21*$N14:$N21),SUM(U14:U21*$AE14:$AE21), SUM(D26:D33*$N26:$N33), SUM(U26:U33*$AE26:$AE33), SUM(D38:D45*$N38:$N45), SUM(U38:U45*$AE38:$AE45),SUM(D50:D56*$N50:$N56), SUM(U50:U56*$AE50:$AE56))</f>
        <v>27</v>
      </c>
      <c r="E6" s="124" cm="1">
        <f t="array" ref="E6">SUM(SUM(E14:E21*$N14:$N21),SUM(V14:V21*$AE14:$AE21), SUM(E26:E33*$N26:$N33), SUM(V26:V33*$AE26:$AE33), SUM(E38:E45*$N38:$N45), SUM(V38:V45*$AE38:$AE45),SUM(E50:E56*$N50:$N56), SUM(V50:V56*$AE50:$AE56))</f>
        <v>45</v>
      </c>
      <c r="F6" s="124" cm="1">
        <f t="array" ref="F6">SUM(SUM(F14:F21*$N14:$N21),SUM(W14:W21*$AE14:$AE21), SUM(F26:F33*$N26:$N33), SUM(W26:W33*$AE26:$AE33), SUM(F38:F45*$N38:$N45), SUM(W38:W45*$AE38:$AE45),SUM(F50:F56*$N50:$N56), SUM(W50:W56*$AE50:$AE56))</f>
        <v>1125</v>
      </c>
      <c r="G6" s="124" cm="1">
        <f t="array" ref="G6">SUM(SUM(G14:G21*$N14:$N21),SUM(X14:X21*$AE14:$AE21), SUM(G26:G33*$N26:$N33), SUM(X26:X33*$AE26:$AE33), SUM(G38:G45*$N38:$N45), SUM(X38:X45*$AE38:$AE45),SUM(G50:G56*$N50:$N56), SUM(X50:X56*$AE50:$AE56))</f>
        <v>18</v>
      </c>
      <c r="H6" s="124" cm="1">
        <f t="array" ref="H6">SUM(SUM(H14:H21*$N14:$N21),SUM(Y14:Y21*$AE14:$AE21), SUM(H26:H33*$N26:$N33), SUM(Y26:Y33*$AE26:$AE33), SUM(H38:H45*$N38:$N45), SUM(Y38:Y45*$AE38:$AE45),SUM(H50:H56*$N50:$N56), SUM(Y50:Y56*$AE50:$AE56))</f>
        <v>17</v>
      </c>
      <c r="I6" s="124" cm="1">
        <f t="array" ref="I6">SUM(SUM(I14:I21*$N14:$N21),SUM(Z14:Z21*$AE14:$AE21), SUM(I26:I33*$N26:$N33), SUM(Z26:Z33*$AE26:$AE33), SUM(I38:I45*$N38:$N45), SUM(Z38:Z45*$AE38:$AE45),SUM(I50:I56*$N50:$N56), SUM(Z50:Z56*$AE50:$AE56))</f>
        <v>2</v>
      </c>
      <c r="J6" s="124" cm="1">
        <f t="array" ref="J6">SUM(SUM(J14:J21*$N14:$N21),SUM(AA14:AA21*$AE14:$AE21), SUM(J26:J33*$N26:$N33), SUM(AA26:AA33*$AE26:$AE33), SUM(J38:J45*$N38:$N45), SUM(AA38:AA45*$AE38:$AE45),SUM(J50:J56*$N50:$N56), SUM(AA50:AA56*$AE50:$AE56))</f>
        <v>37</v>
      </c>
      <c r="K6" s="124" t="s">
        <v>87</v>
      </c>
      <c r="L6" s="125">
        <v>0.17</v>
      </c>
      <c r="M6" s="126">
        <f t="shared" si="0"/>
        <v>0.1875</v>
      </c>
    </row>
    <row r="7" spans="1:43" x14ac:dyDescent="0.3">
      <c r="A7" s="22"/>
      <c r="B7" s="114"/>
      <c r="C7" s="127" t="s">
        <v>103</v>
      </c>
      <c r="D7" s="128" cm="1">
        <f t="array" ref="D7">SUM(SUM(D14:D21*$O14:$O21),SUM(U14:U21*$AF14:$AF21), SUM(D26:D33*$O26:$O33), SUM(U26:U33*$AF26:$AF33), SUM(D38:D45*$O38:$O45), SUM(U38:U45*$AF38:$AF45),SUM(D50:D56*$O50:$O56), SUM(U50:U56*$AF50:$AF56))</f>
        <v>66</v>
      </c>
      <c r="E7" s="128" cm="1">
        <f t="array" ref="E7">SUM(SUM(E14:E21*$O14:$O21),SUM(V14:V21*$AF14:$AF21), SUM(E26:E33*$O26:$O33), SUM(V26:V33*$AF26:$AF33), SUM(E38:E45*$O38:$O45), SUM(V38:V45*$AF38:$AF45),SUM(E50:E56*$O50:$O56), SUM(V50:V56*$AF50:$AF56))</f>
        <v>110</v>
      </c>
      <c r="F7" s="128" cm="1">
        <f t="array" ref="F7">SUM(SUM(F14:F21*$O14:$O21),SUM(W14:W21*$AF14:$AF21), SUM(F26:F33*$O26:$O33), SUM(W26:W33*$AF26:$AF33), SUM(F38:F45*$O38:$O45), SUM(W38:W45*$AF38:$AF45),SUM(F50:F56*$O50:$O56), SUM(W50:W56*$AF50:$AF56))</f>
        <v>2750</v>
      </c>
      <c r="G7" s="128" cm="1">
        <f t="array" ref="G7">SUM(SUM(G14:G21*$O14:$O21),SUM(X14:X21*$AF14:$AF21), SUM(G26:G33*$O26:$O33), SUM(X26:X33*$AF26:$AF33), SUM(G38:G45*$O38:$O45), SUM(X38:X45*$AF38:$AF45),SUM(G50:G56*$O50:$O56), SUM(X50:X56*$AF50:$AF56))</f>
        <v>40</v>
      </c>
      <c r="H7" s="128" cm="1">
        <f t="array" ref="H7">SUM(SUM(H14:H21*$O14:$O21),SUM(Y14:Y21*$AF14:$AF21), SUM(H26:H33*$O26:$O33), SUM(Y26:Y33*$AF26:$AF33), SUM(H38:H45*$O38:$O45), SUM(Y38:Y45*$AF38:$AF45),SUM(H50:H56*$O50:$O56), SUM(Y50:Y56*$AF50:$AF56))</f>
        <v>33</v>
      </c>
      <c r="I7" s="128" cm="1">
        <f t="array" ref="I7">SUM(SUM(I14:I21*$O14:$O21),SUM(Z14:Z21*$AF14:$AF21), SUM(I26:I33*$O26:$O33), SUM(Z26:Z33*$AF26:$AF33), SUM(I38:I45*$O38:$O45), SUM(Z38:Z45*$AF38:$AF45),SUM(I50:I56*$O50:$O56), SUM(Z50:Z56*$AF50:$AF56))</f>
        <v>19</v>
      </c>
      <c r="J7" s="128" cm="1">
        <f t="array" ref="J7">SUM(SUM(J14:J21*$O14:$O21),SUM(AA14:AA21*$AF14:$AF21), SUM(J26:J33*$O26:$O33), SUM(AA26:AA33*$AF26:$AF33), SUM(J38:J45*$O38:$O45), SUM(AA38:AA45*$AF38:$AF45),SUM(J50:J56*$O50:$O56), SUM(AA50:AA56*$AF50:$AF56))</f>
        <v>92</v>
      </c>
      <c r="K7" s="128" t="s">
        <v>88</v>
      </c>
      <c r="L7" s="129">
        <v>0.35</v>
      </c>
      <c r="M7" s="130">
        <f t="shared" si="0"/>
        <v>0.45833333333333331</v>
      </c>
      <c r="N7" s="2"/>
      <c r="O7" s="84"/>
      <c r="P7" s="2"/>
      <c r="Q7" s="2"/>
      <c r="R7" s="2"/>
      <c r="S7" s="2"/>
      <c r="T7" s="2"/>
      <c r="U7" s="2"/>
      <c r="V7" s="2"/>
      <c r="W7" s="2"/>
    </row>
    <row r="8" spans="1:43" x14ac:dyDescent="0.3">
      <c r="A8" s="22"/>
      <c r="B8" s="114"/>
      <c r="C8" s="131" t="s">
        <v>113</v>
      </c>
      <c r="D8" s="132" cm="1">
        <f t="array" ref="D8">SUM(SUM(D14:D21*$P14:$P21),SUM(U14:U21*$AG14:$AG21), SUM(D26:D33*$P26:$P33), SUM(U26:U33*$AG26:$AG33), SUM(D38:D45*$P38:$P45), SUM(U38:U45*$AG38:$AG45),SUM(D50:D56*$P50:$P56), SUM(U50:U56*$AG50:$AG56))</f>
        <v>36</v>
      </c>
      <c r="E8" s="132" cm="1">
        <f t="array" ref="E8">SUM(SUM(E14:E21*$P14:$P21),SUM(V14:V21*$AG14:$AG21), SUM(E26:E33*$P26:$P33), SUM(V26:V33*$AG26:$AG33), SUM(E38:E45*$P38:$P45), SUM(V38:V45*$AG38:$AG45),SUM(E50:E56*$P50:$P56), SUM(V50:V56*$AG50:$AG56))</f>
        <v>60</v>
      </c>
      <c r="F8" s="132" cm="1">
        <f t="array" ref="F8">SUM(SUM(F14:F21*$P14:$P21),SUM(W14:W21*$AG14:$AG21), SUM(F26:F33*$P26:$P33), SUM(W26:W33*$AG26:$AG33), SUM(F38:F45*$P38:$P45), SUM(W38:W45*$AG38:$AG45),SUM(F50:F56*$P50:$P56), SUM(W50:W56*$AG50:$AG56))</f>
        <v>1500</v>
      </c>
      <c r="G8" s="132" cm="1">
        <f t="array" ref="G8">SUM(SUM(G14:G21*$P14:$P21),SUM(X14:X21*$AG14:$AG21), SUM(G26:G33*$P26:$P33), SUM(X26:X33*$AG26:$AG33), SUM(G38:G45*$P38:$P45), SUM(X38:X45*$AG38:$AG45),SUM(G50:G56*$P50:$P56), SUM(X50:X56*$AG50:$AG56))</f>
        <v>24</v>
      </c>
      <c r="H8" s="132" cm="1">
        <f t="array" ref="H8">SUM(SUM(H14:H21*$P14:$P21),SUM(Y14:Y21*$AG14:$AG21), SUM(H26:H33*$P26:$P33), SUM(Y26:Y33*$AG26:$AG33), SUM(H38:H45*$P38:$P45), SUM(Y38:Y45*$AG38:$AG45),SUM(H50:H56*$P50:$P56), SUM(Y50:Y56*$AG50:$AG56))</f>
        <v>19</v>
      </c>
      <c r="I8" s="132" cm="1">
        <f t="array" ref="I8">SUM(SUM(I14:I21*$P14:$P21),SUM(Z14:Z21*$AG14:$AG21), SUM(I26:I33*$P26:$P33), SUM(Z26:Z33*$AG26:$AG33), SUM(I38:I45*$P38:$P45), SUM(Z38:Z45*$AG38:$AG45),SUM(I50:I56*$P50:$P56), SUM(Z50:Z56*$AG50:$AG56))</f>
        <v>5</v>
      </c>
      <c r="J8" s="132" cm="1">
        <f t="array" ref="J8">SUM(SUM(J14:J21*$P14:$P21),SUM(AA14:AA21*$AG14:$AG21), SUM(J26:J33*$P26:$P33), SUM(AA26:AA33*$AG26:$AG33), SUM(J38:J45*$P38:$P45), SUM(AA38:AA45*$AG38:$AG45),SUM(J50:J56*$P50:$P56), SUM(AA50:AA56*$AG50:$AG56))</f>
        <v>48</v>
      </c>
      <c r="K8" s="132" t="s">
        <v>15</v>
      </c>
      <c r="L8" s="133">
        <v>0.3</v>
      </c>
      <c r="M8" s="134">
        <f t="shared" si="0"/>
        <v>0.25</v>
      </c>
    </row>
    <row r="9" spans="1:43" x14ac:dyDescent="0.3">
      <c r="A9" s="22"/>
      <c r="B9" s="114"/>
      <c r="C9" s="135" t="s">
        <v>115</v>
      </c>
      <c r="D9" s="136" cm="1">
        <f t="array" ref="D9">SUM(SUM(D14:D21*$Q14:$Q21),SUM(U14:U21*$AH14:$AH21), SUM(D26:D33*$Q26:$Q33), SUM(U26:U33*$AH26:$AH33), SUM(D38:D45*$Q38:$Q45), SUM(U38:U45*$AH38:$AH45),SUM(D50:D56*$Q50:$Q56), SUM(U50:U56*$AH50:$AH56))</f>
        <v>24</v>
      </c>
      <c r="E9" s="136" cm="1">
        <f t="array" ref="E9">SUM(SUM(E14:E21*$Q14:$Q21),SUM(V14:V21*$AH14:$AH21), SUM(E26:E33*$Q26:$Q33), SUM(V26:V33*$AH26:$AH33), SUM(E38:E45*$Q38:$Q45), SUM(V38:V45*$AH38:$AH45),SUM(E50:E56*$Q50:$Q56), SUM(V50:V56*$AH50:$AH56))</f>
        <v>40</v>
      </c>
      <c r="F9" s="136" cm="1">
        <f t="array" ref="F9">SUM(SUM(F14:F21*$Q14:$Q21),SUM(W14:W21*$AH14:$AH21), SUM(F26:F33*$Q26:$Q33), SUM(W26:W33*$AH26:$AH33), SUM(F38:F45*$Q38:$Q45), SUM(W38:W45*$AH38:$AH45),SUM(F50:F56*$Q50:$Q56), SUM(W50:W56*$AH50:$AH56))</f>
        <v>1000</v>
      </c>
      <c r="G9" s="136" cm="1">
        <f t="array" ref="G9">SUM(SUM(G14:G21*$Q14:$Q21),SUM(X14:X21*$AH14:$AH21), SUM(G26:G33*$Q26:$Q33), SUM(X26:X33*$AH26:$AH33), SUM(G38:G45*$Q38:$Q45), SUM(X38:X45*$AH38:$AH45),SUM(G50:G56*$Q50:$Q56), SUM(X50:X56*$AH50:$AH56))</f>
        <v>17</v>
      </c>
      <c r="H9" s="136" cm="1">
        <f t="array" ref="H9">SUM(SUM(H14:H21*$Q14:$Q21),SUM(Y14:Y21*$AH14:$AH21), SUM(H26:H33*$Q26:$Q33), SUM(Y26:Y33*$AH26:$AH33), SUM(H38:H45*$Q38:$Q45), SUM(Y38:Y45*$AH38:$AH45),SUM(H50:H56*$Q50:$Q56), SUM(Y50:Y56*$AH50:$AH56))</f>
        <v>10</v>
      </c>
      <c r="I9" s="136" cm="1">
        <f t="array" ref="I9">SUM(SUM(I14:I21*$Q14:$Q21),SUM(Z14:Z21*$AH14:$AH21), SUM(I26:I33*$Q26:$Q33), SUM(Z26:Z33*$AH26:$AH33), SUM(I38:I45*$Q38:$Q45), SUM(Z38:Z45*$AH38:$AH45),SUM(I50:I56*$Q50:$Q56), SUM(Z50:Z56*$AH50:$AH56))</f>
        <v>4</v>
      </c>
      <c r="J9" s="136" cm="1">
        <f t="array" ref="J9">SUM(SUM(J14:J21*$Q14:$Q21),SUM(AA14:AA21*$AH14:$AH21), SUM(J26:J33*$Q26:$Q33), SUM(AA26:AA33*$AH26:$AH33), SUM(J38:J45*$Q38:$Q45), SUM(AA38:AA45*$AH38:$AH45),SUM(J50:J56*$Q50:$Q56), SUM(AA50:AA56*$AH50:$AH56))</f>
        <v>31</v>
      </c>
      <c r="K9" s="137" t="s">
        <v>86</v>
      </c>
      <c r="L9" s="138">
        <v>0.15</v>
      </c>
      <c r="M9" s="139">
        <f t="shared" si="0"/>
        <v>0.16666666666666666</v>
      </c>
    </row>
    <row r="10" spans="1:43" ht="15.6" customHeight="1" x14ac:dyDescent="0.3">
      <c r="A10" s="22"/>
      <c r="B10" s="22"/>
      <c r="C10" s="140" t="s">
        <v>92</v>
      </c>
      <c r="D10" s="93">
        <f>D22+U22+D34+U34+D46+U46+D57+U57</f>
        <v>144</v>
      </c>
      <c r="E10" s="93">
        <f>E22+V22+E34+V34+E46+V46+E57+V57</f>
        <v>240</v>
      </c>
      <c r="F10" s="93">
        <f t="shared" ref="F10:J10" si="1">F22+W22+F34+W34+F46+W46+F57+W57</f>
        <v>6000</v>
      </c>
      <c r="G10" s="93">
        <f t="shared" si="1"/>
        <v>94</v>
      </c>
      <c r="H10" s="93">
        <f t="shared" si="1"/>
        <v>70</v>
      </c>
      <c r="I10" s="93">
        <f t="shared" si="1"/>
        <v>31</v>
      </c>
      <c r="J10" s="93">
        <f t="shared" si="1"/>
        <v>195</v>
      </c>
      <c r="K10" s="141"/>
      <c r="L10" s="142"/>
      <c r="M10" s="143"/>
      <c r="N10" s="13"/>
      <c r="AM10" s="3" t="s">
        <v>377</v>
      </c>
      <c r="AN10" s="3" t="s">
        <v>17</v>
      </c>
      <c r="AO10" s="3" t="s">
        <v>376</v>
      </c>
      <c r="AP10" s="3" t="s">
        <v>3</v>
      </c>
      <c r="AQ10" s="3" t="s">
        <v>375</v>
      </c>
    </row>
    <row r="11" spans="1:43" x14ac:dyDescent="0.3">
      <c r="AM11" s="3" t="s">
        <v>378</v>
      </c>
      <c r="AN11" s="3" t="s">
        <v>281</v>
      </c>
      <c r="AO11" s="3" t="s">
        <v>41</v>
      </c>
      <c r="AP11" s="3">
        <v>3</v>
      </c>
      <c r="AQ11" s="3" t="s">
        <v>272</v>
      </c>
    </row>
    <row r="12" spans="1:43" ht="14.4" customHeight="1" x14ac:dyDescent="0.3">
      <c r="A12" s="292" t="s">
        <v>16</v>
      </c>
      <c r="B12" s="305" t="s">
        <v>17</v>
      </c>
      <c r="C12" s="305" t="s">
        <v>18</v>
      </c>
      <c r="D12" s="305" t="s">
        <v>1</v>
      </c>
      <c r="E12" s="305"/>
      <c r="F12" s="305"/>
      <c r="G12" s="305" t="s">
        <v>2</v>
      </c>
      <c r="H12" s="305"/>
      <c r="I12" s="305"/>
      <c r="J12" s="305"/>
      <c r="K12" s="304" t="s">
        <v>19</v>
      </c>
      <c r="L12" s="304" t="s">
        <v>20</v>
      </c>
      <c r="M12" s="304" t="s">
        <v>21</v>
      </c>
      <c r="N12" s="306" t="s">
        <v>111</v>
      </c>
      <c r="O12" s="304" t="s">
        <v>22</v>
      </c>
      <c r="P12" s="304" t="s">
        <v>98</v>
      </c>
      <c r="Q12" s="304" t="s">
        <v>89</v>
      </c>
      <c r="R12" s="293" t="s">
        <v>23</v>
      </c>
      <c r="S12" s="305" t="s">
        <v>17</v>
      </c>
      <c r="T12" s="305" t="s">
        <v>18</v>
      </c>
      <c r="U12" s="305" t="s">
        <v>1</v>
      </c>
      <c r="V12" s="305"/>
      <c r="W12" s="305"/>
      <c r="X12" s="305" t="s">
        <v>2</v>
      </c>
      <c r="Y12" s="305"/>
      <c r="Z12" s="305"/>
      <c r="AA12" s="305"/>
      <c r="AB12" s="304" t="s">
        <v>19</v>
      </c>
      <c r="AC12" s="304" t="s">
        <v>20</v>
      </c>
      <c r="AD12" s="304" t="s">
        <v>21</v>
      </c>
      <c r="AE12" s="306" t="s">
        <v>111</v>
      </c>
      <c r="AF12" s="304" t="s">
        <v>22</v>
      </c>
      <c r="AG12" s="304" t="s">
        <v>98</v>
      </c>
      <c r="AH12" s="304" t="s">
        <v>89</v>
      </c>
      <c r="AM12" s="3" t="s">
        <v>378</v>
      </c>
      <c r="AN12" s="3" t="s">
        <v>290</v>
      </c>
      <c r="AO12" s="3" t="s">
        <v>57</v>
      </c>
      <c r="AP12" s="3">
        <v>3</v>
      </c>
      <c r="AQ12" s="3" t="s">
        <v>80</v>
      </c>
    </row>
    <row r="13" spans="1:43" x14ac:dyDescent="0.3">
      <c r="A13" s="292"/>
      <c r="B13" s="305"/>
      <c r="C13" s="305"/>
      <c r="D13" s="144" t="s">
        <v>3</v>
      </c>
      <c r="E13" s="144" t="s">
        <v>4</v>
      </c>
      <c r="F13" s="144" t="s">
        <v>5</v>
      </c>
      <c r="G13" s="144" t="s">
        <v>6</v>
      </c>
      <c r="H13" s="144" t="s">
        <v>7</v>
      </c>
      <c r="I13" s="144" t="s">
        <v>8</v>
      </c>
      <c r="J13" s="144" t="s">
        <v>9</v>
      </c>
      <c r="K13" s="304"/>
      <c r="L13" s="304"/>
      <c r="M13" s="304"/>
      <c r="N13" s="306"/>
      <c r="O13" s="304"/>
      <c r="P13" s="304"/>
      <c r="Q13" s="304"/>
      <c r="R13" s="294"/>
      <c r="S13" s="305"/>
      <c r="T13" s="305"/>
      <c r="U13" s="144" t="s">
        <v>3</v>
      </c>
      <c r="V13" s="144" t="s">
        <v>4</v>
      </c>
      <c r="W13" s="144" t="s">
        <v>5</v>
      </c>
      <c r="X13" s="144" t="s">
        <v>6</v>
      </c>
      <c r="Y13" s="144" t="s">
        <v>7</v>
      </c>
      <c r="Z13" s="144" t="s">
        <v>8</v>
      </c>
      <c r="AA13" s="144" t="s">
        <v>9</v>
      </c>
      <c r="AB13" s="304"/>
      <c r="AC13" s="304"/>
      <c r="AD13" s="304"/>
      <c r="AE13" s="306"/>
      <c r="AF13" s="304"/>
      <c r="AG13" s="304"/>
      <c r="AH13" s="304"/>
      <c r="AM13" s="3" t="s">
        <v>380</v>
      </c>
      <c r="AN13" s="3" t="s">
        <v>288</v>
      </c>
      <c r="AO13" s="3" t="s">
        <v>46</v>
      </c>
      <c r="AP13" s="3">
        <v>3</v>
      </c>
      <c r="AQ13" s="3" t="s">
        <v>80</v>
      </c>
    </row>
    <row r="14" spans="1:43" ht="14.4" customHeight="1" x14ac:dyDescent="0.3">
      <c r="A14" s="292"/>
      <c r="B14" s="19" t="str">
        <f>'List of Courses'!B4</f>
        <v>EGL111</v>
      </c>
      <c r="C14" s="19" t="str">
        <f>'List of Courses'!C4</f>
        <v>English I</v>
      </c>
      <c r="D14" s="19">
        <f>'List of Courses'!D4</f>
        <v>0</v>
      </c>
      <c r="E14" s="19">
        <f>'List of Courses'!E4</f>
        <v>0</v>
      </c>
      <c r="F14" s="19">
        <f>'List of Courses'!F4</f>
        <v>0</v>
      </c>
      <c r="G14" s="19">
        <f>'List of Courses'!G4</f>
        <v>0</v>
      </c>
      <c r="H14" s="19">
        <f>'List of Courses'!H4</f>
        <v>0</v>
      </c>
      <c r="I14" s="19">
        <f>'List of Courses'!I4</f>
        <v>0</v>
      </c>
      <c r="J14" s="19">
        <f>'List of Courses'!J4</f>
        <v>0</v>
      </c>
      <c r="K14" s="19" t="str">
        <f>'List of Courses'!K4</f>
        <v>--</v>
      </c>
      <c r="L14" s="19">
        <f>'List of Courses'!L4</f>
        <v>1</v>
      </c>
      <c r="M14" s="19">
        <f>'List of Courses'!M4</f>
        <v>0</v>
      </c>
      <c r="N14" s="19">
        <f>'List of Courses'!N4</f>
        <v>0</v>
      </c>
      <c r="O14" s="19">
        <f>'List of Courses'!O4</f>
        <v>0</v>
      </c>
      <c r="P14" s="19">
        <f>'List of Courses'!P4</f>
        <v>0</v>
      </c>
      <c r="Q14" s="19">
        <f>'List of Courses'!Q4</f>
        <v>0</v>
      </c>
      <c r="R14" s="294"/>
      <c r="S14" s="19" t="str">
        <f>'List of Courses'!B5</f>
        <v>EGL112</v>
      </c>
      <c r="T14" s="19" t="str">
        <f>'List of Courses'!C5</f>
        <v>English II</v>
      </c>
      <c r="U14" s="19">
        <f>'List of Courses'!D5</f>
        <v>0</v>
      </c>
      <c r="V14" s="19">
        <f>'List of Courses'!E5</f>
        <v>0</v>
      </c>
      <c r="W14" s="19">
        <f>'List of Courses'!F5</f>
        <v>0</v>
      </c>
      <c r="X14" s="19">
        <f>'List of Courses'!G5</f>
        <v>0</v>
      </c>
      <c r="Y14" s="19">
        <f>'List of Courses'!H5</f>
        <v>0</v>
      </c>
      <c r="Z14" s="19">
        <f>'List of Courses'!I5</f>
        <v>0</v>
      </c>
      <c r="AA14" s="19">
        <f>'List of Courses'!J5</f>
        <v>0</v>
      </c>
      <c r="AB14" s="19" t="str">
        <f>'List of Courses'!K5</f>
        <v>EGL111</v>
      </c>
      <c r="AC14" s="19">
        <f>'List of Courses'!L5</f>
        <v>1</v>
      </c>
      <c r="AD14" s="19">
        <f>'List of Courses'!M5</f>
        <v>0</v>
      </c>
      <c r="AE14" s="19">
        <f>'List of Courses'!N5</f>
        <v>0</v>
      </c>
      <c r="AF14" s="19">
        <f>'List of Courses'!O5</f>
        <v>0</v>
      </c>
      <c r="AG14" s="19">
        <f>'List of Courses'!P5</f>
        <v>0</v>
      </c>
      <c r="AH14" s="19">
        <f>'List of Courses'!Q5</f>
        <v>0</v>
      </c>
      <c r="AM14" s="3" t="s">
        <v>380</v>
      </c>
      <c r="AN14" s="3" t="s">
        <v>291</v>
      </c>
      <c r="AO14" s="3" t="s">
        <v>58</v>
      </c>
      <c r="AP14" s="3">
        <v>3</v>
      </c>
      <c r="AQ14" s="3" t="s">
        <v>80</v>
      </c>
    </row>
    <row r="15" spans="1:43" x14ac:dyDescent="0.3">
      <c r="A15" s="292"/>
      <c r="B15" s="19" t="str">
        <f>'List of Courses'!B8</f>
        <v>CSC111</v>
      </c>
      <c r="C15" s="19" t="str">
        <f>'List of Courses'!C8</f>
        <v>Computer and Information Skills</v>
      </c>
      <c r="D15" s="19">
        <f>'List of Courses'!D8</f>
        <v>3</v>
      </c>
      <c r="E15" s="19">
        <f>'List of Courses'!E8</f>
        <v>5</v>
      </c>
      <c r="F15" s="19">
        <f>'List of Courses'!F8</f>
        <v>125</v>
      </c>
      <c r="G15" s="19">
        <f>'List of Courses'!G8</f>
        <v>1</v>
      </c>
      <c r="H15" s="19">
        <f>'List of Courses'!H8</f>
        <v>2</v>
      </c>
      <c r="I15" s="19">
        <f>'List of Courses'!I8</f>
        <v>2</v>
      </c>
      <c r="J15" s="19">
        <f>'List of Courses'!J8</f>
        <v>5</v>
      </c>
      <c r="K15" s="19" t="str">
        <f>'List of Courses'!K8</f>
        <v>--</v>
      </c>
      <c r="L15" s="19">
        <f>'List of Courses'!L8</f>
        <v>1</v>
      </c>
      <c r="M15" s="19">
        <f>'List of Courses'!M8</f>
        <v>0</v>
      </c>
      <c r="N15" s="19">
        <f>'List of Courses'!N8</f>
        <v>0</v>
      </c>
      <c r="O15" s="19">
        <f>'List of Courses'!O8</f>
        <v>0</v>
      </c>
      <c r="P15" s="19">
        <f>'List of Courses'!P8</f>
        <v>0</v>
      </c>
      <c r="Q15" s="19">
        <f>'List of Courses'!Q8</f>
        <v>0</v>
      </c>
      <c r="R15" s="294"/>
      <c r="S15" s="19" t="str">
        <f>'List of Courses'!B9</f>
        <v>HUM E1</v>
      </c>
      <c r="T15" s="19" t="str">
        <f>'List of Courses'!C9</f>
        <v>Humanities and Social Sciences Electives</v>
      </c>
      <c r="U15" s="19">
        <f>'List of Courses'!D9</f>
        <v>3</v>
      </c>
      <c r="V15" s="19">
        <f>'List of Courses'!E9</f>
        <v>5</v>
      </c>
      <c r="W15" s="19">
        <f>'List of Courses'!F9</f>
        <v>125</v>
      </c>
      <c r="X15" s="19">
        <f>'List of Courses'!G9</f>
        <v>3</v>
      </c>
      <c r="Y15" s="19">
        <f>'List of Courses'!H9</f>
        <v>0</v>
      </c>
      <c r="Z15" s="19">
        <f>'List of Courses'!I9</f>
        <v>0</v>
      </c>
      <c r="AA15" s="19">
        <f>'List of Courses'!J9</f>
        <v>3</v>
      </c>
      <c r="AB15" s="19" t="str">
        <f>'List of Courses'!K9</f>
        <v>--</v>
      </c>
      <c r="AC15" s="19">
        <f>'List of Courses'!L9</f>
        <v>1</v>
      </c>
      <c r="AD15" s="19">
        <f>'List of Courses'!M9</f>
        <v>0</v>
      </c>
      <c r="AE15" s="19">
        <f>'List of Courses'!N9</f>
        <v>0</v>
      </c>
      <c r="AF15" s="19">
        <f>'List of Courses'!O9</f>
        <v>0</v>
      </c>
      <c r="AG15" s="19">
        <f>'List of Courses'!P9</f>
        <v>0</v>
      </c>
      <c r="AH15" s="81">
        <f>'List of Courses'!Q9</f>
        <v>1</v>
      </c>
      <c r="AM15" s="3" t="s">
        <v>379</v>
      </c>
      <c r="AN15" s="3" t="s">
        <v>318</v>
      </c>
      <c r="AO15" s="3" t="s">
        <v>116</v>
      </c>
      <c r="AP15" s="3">
        <v>3</v>
      </c>
      <c r="AQ15" s="3" t="s">
        <v>80</v>
      </c>
    </row>
    <row r="16" spans="1:43" x14ac:dyDescent="0.3">
      <c r="A16" s="292"/>
      <c r="B16" s="78" t="str">
        <f>'List of Courses'!B10</f>
        <v>MTH111</v>
      </c>
      <c r="C16" s="78" t="str">
        <f>'List of Courses'!C10</f>
        <v>Analytical Geometry and Calculus I</v>
      </c>
      <c r="D16" s="78">
        <f>'List of Courses'!D10</f>
        <v>3</v>
      </c>
      <c r="E16" s="78">
        <f>'List of Courses'!E10</f>
        <v>5</v>
      </c>
      <c r="F16" s="78">
        <f>'List of Courses'!F10</f>
        <v>125</v>
      </c>
      <c r="G16" s="78">
        <f>'List of Courses'!G10</f>
        <v>2</v>
      </c>
      <c r="H16" s="78">
        <f>'List of Courses'!H10</f>
        <v>2</v>
      </c>
      <c r="I16" s="78">
        <f>'List of Courses'!I10</f>
        <v>0</v>
      </c>
      <c r="J16" s="78">
        <f>'List of Courses'!J10</f>
        <v>4</v>
      </c>
      <c r="K16" s="78" t="str">
        <f>'List of Courses'!K10</f>
        <v>--</v>
      </c>
      <c r="L16" s="78">
        <f>'List of Courses'!L10</f>
        <v>0</v>
      </c>
      <c r="M16" s="78">
        <f>'List of Courses'!M10</f>
        <v>1</v>
      </c>
      <c r="N16" s="20">
        <f>'List of Courses'!N10</f>
        <v>1</v>
      </c>
      <c r="O16" s="78">
        <f>'List of Courses'!O10</f>
        <v>0</v>
      </c>
      <c r="P16" s="78">
        <f>'List of Courses'!P10</f>
        <v>0</v>
      </c>
      <c r="Q16" s="78">
        <f>'List of Courses'!Q10</f>
        <v>0</v>
      </c>
      <c r="R16" s="294"/>
      <c r="S16" s="79" t="str">
        <f>'List of Courses'!B11</f>
        <v>MTH112</v>
      </c>
      <c r="T16" s="79" t="str">
        <f>'List of Courses'!C11</f>
        <v>Calculus II</v>
      </c>
      <c r="U16" s="79">
        <f>'List of Courses'!D11</f>
        <v>3</v>
      </c>
      <c r="V16" s="79">
        <f>'List of Courses'!E11</f>
        <v>5</v>
      </c>
      <c r="W16" s="79">
        <f>'List of Courses'!F11</f>
        <v>125</v>
      </c>
      <c r="X16" s="79">
        <f>'List of Courses'!G11</f>
        <v>2</v>
      </c>
      <c r="Y16" s="79">
        <f>'List of Courses'!H11</f>
        <v>2</v>
      </c>
      <c r="Z16" s="79">
        <f>'List of Courses'!I11</f>
        <v>0</v>
      </c>
      <c r="AA16" s="79">
        <f>'List of Courses'!J11</f>
        <v>4</v>
      </c>
      <c r="AB16" s="79" t="str">
        <f>'List of Courses'!K11</f>
        <v>MTH111 (CO)</v>
      </c>
      <c r="AC16" s="79">
        <f>'List of Courses'!L11</f>
        <v>0</v>
      </c>
      <c r="AD16" s="79">
        <f>'List of Courses'!M11</f>
        <v>0</v>
      </c>
      <c r="AE16" s="20">
        <f>'List of Courses'!N11</f>
        <v>1</v>
      </c>
      <c r="AF16" s="79">
        <f>'List of Courses'!O11</f>
        <v>1</v>
      </c>
      <c r="AG16" s="79">
        <f>'List of Courses'!P11</f>
        <v>0</v>
      </c>
      <c r="AH16" s="79">
        <f>'List of Courses'!Q11</f>
        <v>0</v>
      </c>
      <c r="AM16" s="3" t="s">
        <v>379</v>
      </c>
      <c r="AN16" s="3" t="s">
        <v>319</v>
      </c>
      <c r="AO16" s="3" t="s">
        <v>117</v>
      </c>
      <c r="AP16" s="3">
        <v>3</v>
      </c>
      <c r="AQ16" s="3" t="s">
        <v>80</v>
      </c>
    </row>
    <row r="17" spans="1:34" x14ac:dyDescent="0.3">
      <c r="A17" s="292"/>
      <c r="B17" s="78" t="str">
        <f>'List of Courses'!B20</f>
        <v>PHY111</v>
      </c>
      <c r="C17" s="78" t="str">
        <f>'List of Courses'!C20</f>
        <v>Physics I</v>
      </c>
      <c r="D17" s="78">
        <f>'List of Courses'!D20</f>
        <v>3</v>
      </c>
      <c r="E17" s="78">
        <f>'List of Courses'!E20</f>
        <v>5</v>
      </c>
      <c r="F17" s="78">
        <f>'List of Courses'!F20</f>
        <v>125</v>
      </c>
      <c r="G17" s="78">
        <f>'List of Courses'!G20</f>
        <v>2</v>
      </c>
      <c r="H17" s="78">
        <f>'List of Courses'!H20</f>
        <v>2</v>
      </c>
      <c r="I17" s="78">
        <f>'List of Courses'!I20</f>
        <v>1</v>
      </c>
      <c r="J17" s="78">
        <f>'List of Courses'!J20</f>
        <v>5</v>
      </c>
      <c r="K17" s="78" t="str">
        <f>'List of Courses'!K20</f>
        <v>--</v>
      </c>
      <c r="L17" s="78">
        <f>'List of Courses'!L20</f>
        <v>0</v>
      </c>
      <c r="M17" s="78">
        <f>'List of Courses'!M20</f>
        <v>1</v>
      </c>
      <c r="N17" s="20">
        <f>'List of Courses'!N20</f>
        <v>1</v>
      </c>
      <c r="O17" s="78">
        <f>'List of Courses'!O20</f>
        <v>0</v>
      </c>
      <c r="P17" s="78">
        <f>'List of Courses'!P20</f>
        <v>0</v>
      </c>
      <c r="Q17" s="78">
        <f>'List of Courses'!Q20</f>
        <v>0</v>
      </c>
      <c r="R17" s="294"/>
      <c r="S17" s="78" t="str">
        <f>'List of Courses'!B12</f>
        <v>MTH113</v>
      </c>
      <c r="T17" s="78" t="str">
        <f>'List of Courses'!C12</f>
        <v>Probability and Statistics</v>
      </c>
      <c r="U17" s="78">
        <f>'List of Courses'!D12</f>
        <v>3</v>
      </c>
      <c r="V17" s="78">
        <f>'List of Courses'!E12</f>
        <v>5</v>
      </c>
      <c r="W17" s="78">
        <f>'List of Courses'!F12</f>
        <v>125</v>
      </c>
      <c r="X17" s="78">
        <f>'List of Courses'!G12</f>
        <v>2</v>
      </c>
      <c r="Y17" s="78">
        <f>'List of Courses'!H12</f>
        <v>2</v>
      </c>
      <c r="Z17" s="78">
        <f>'List of Courses'!I12</f>
        <v>0</v>
      </c>
      <c r="AA17" s="78">
        <f>'List of Courses'!J12</f>
        <v>4</v>
      </c>
      <c r="AB17" s="78" t="str">
        <f>'List of Courses'!K12</f>
        <v>--</v>
      </c>
      <c r="AC17" s="78">
        <f>'List of Courses'!L12</f>
        <v>0</v>
      </c>
      <c r="AD17" s="78">
        <f>'List of Courses'!M12</f>
        <v>1</v>
      </c>
      <c r="AE17" s="20">
        <f>'List of Courses'!N12</f>
        <v>1</v>
      </c>
      <c r="AF17" s="78">
        <f>'List of Courses'!O12</f>
        <v>0</v>
      </c>
      <c r="AG17" s="78">
        <f>'List of Courses'!P12</f>
        <v>0</v>
      </c>
      <c r="AH17" s="78">
        <f>'List of Courses'!Q12</f>
        <v>0</v>
      </c>
    </row>
    <row r="18" spans="1:34" x14ac:dyDescent="0.3">
      <c r="A18" s="292"/>
      <c r="B18" s="78" t="str">
        <f>'List of Courses'!B23</f>
        <v>MEC111</v>
      </c>
      <c r="C18" s="78" t="str">
        <f>'List of Courses'!C23</f>
        <v>Engineering Mechanics I - Statics</v>
      </c>
      <c r="D18" s="78">
        <f>'List of Courses'!D23</f>
        <v>3</v>
      </c>
      <c r="E18" s="78">
        <f>'List of Courses'!E23</f>
        <v>5</v>
      </c>
      <c r="F18" s="78">
        <f>'List of Courses'!F23</f>
        <v>125</v>
      </c>
      <c r="G18" s="78">
        <f>'List of Courses'!G23</f>
        <v>2</v>
      </c>
      <c r="H18" s="78">
        <f>'List of Courses'!H23</f>
        <v>2</v>
      </c>
      <c r="I18" s="78">
        <f>'List of Courses'!I23</f>
        <v>0</v>
      </c>
      <c r="J18" s="78">
        <f>'List of Courses'!J23</f>
        <v>4</v>
      </c>
      <c r="K18" s="78" t="str">
        <f>'List of Courses'!K23</f>
        <v>--</v>
      </c>
      <c r="L18" s="78">
        <f>'List of Courses'!L23</f>
        <v>0</v>
      </c>
      <c r="M18" s="78">
        <f>'List of Courses'!M23</f>
        <v>1</v>
      </c>
      <c r="N18" s="20">
        <f>'List of Courses'!N23</f>
        <v>1</v>
      </c>
      <c r="O18" s="78">
        <f>'List of Courses'!O23</f>
        <v>0</v>
      </c>
      <c r="P18" s="78">
        <f>'List of Courses'!P23</f>
        <v>0</v>
      </c>
      <c r="Q18" s="78">
        <f>'List of Courses'!Q23</f>
        <v>0</v>
      </c>
      <c r="R18" s="294"/>
      <c r="S18" s="79" t="str">
        <f>'List of Courses'!B22</f>
        <v>CHM111</v>
      </c>
      <c r="T18" s="79" t="str">
        <f>'List of Courses'!C22</f>
        <v>Chemistry Principles</v>
      </c>
      <c r="U18" s="79">
        <f>'List of Courses'!D22</f>
        <v>3</v>
      </c>
      <c r="V18" s="79">
        <f>'List of Courses'!E22</f>
        <v>5</v>
      </c>
      <c r="W18" s="79">
        <f>'List of Courses'!F22</f>
        <v>125</v>
      </c>
      <c r="X18" s="79">
        <f>'List of Courses'!G22</f>
        <v>2</v>
      </c>
      <c r="Y18" s="79">
        <f>'List of Courses'!H22</f>
        <v>1</v>
      </c>
      <c r="Z18" s="79">
        <f>'List of Courses'!I22</f>
        <v>1</v>
      </c>
      <c r="AA18" s="79">
        <f>'List of Courses'!J22</f>
        <v>4</v>
      </c>
      <c r="AB18" s="79" t="str">
        <f>'List of Courses'!K22</f>
        <v>--</v>
      </c>
      <c r="AC18" s="79">
        <f>'List of Courses'!L22</f>
        <v>0</v>
      </c>
      <c r="AD18" s="79">
        <f>'List of Courses'!M22</f>
        <v>0</v>
      </c>
      <c r="AE18" s="20">
        <f>'List of Courses'!N22</f>
        <v>1</v>
      </c>
      <c r="AF18" s="79">
        <f>'List of Courses'!O22</f>
        <v>1</v>
      </c>
      <c r="AG18" s="79">
        <f>'List of Courses'!P22</f>
        <v>0</v>
      </c>
      <c r="AH18" s="79">
        <f>'List of Courses'!Q22</f>
        <v>0</v>
      </c>
    </row>
    <row r="19" spans="1:34" x14ac:dyDescent="0.3">
      <c r="A19" s="292"/>
      <c r="B19" s="78" t="str">
        <f>'List of Courses'!B25</f>
        <v>INT121</v>
      </c>
      <c r="C19" s="78" t="str">
        <f>'List of Courses'!C25</f>
        <v>Engineering Drawing</v>
      </c>
      <c r="D19" s="78">
        <f>'List of Courses'!D25</f>
        <v>3</v>
      </c>
      <c r="E19" s="78">
        <f>'List of Courses'!E25</f>
        <v>5</v>
      </c>
      <c r="F19" s="78">
        <f>'List of Courses'!F25</f>
        <v>125</v>
      </c>
      <c r="G19" s="78">
        <f>'List of Courses'!G25</f>
        <v>2</v>
      </c>
      <c r="H19" s="78">
        <f>'List of Courses'!H25</f>
        <v>0</v>
      </c>
      <c r="I19" s="78">
        <f>'List of Courses'!I25</f>
        <v>2</v>
      </c>
      <c r="J19" s="78">
        <f>'List of Courses'!J25</f>
        <v>4</v>
      </c>
      <c r="K19" s="78" t="str">
        <f>'List of Courses'!K25</f>
        <v>--</v>
      </c>
      <c r="L19" s="78">
        <f>'List of Courses'!L25</f>
        <v>0</v>
      </c>
      <c r="M19" s="78">
        <f>'List of Courses'!M25</f>
        <v>1</v>
      </c>
      <c r="N19" s="78">
        <f>'List of Courses'!N25</f>
        <v>0</v>
      </c>
      <c r="O19" s="78">
        <f>'List of Courses'!O25</f>
        <v>0</v>
      </c>
      <c r="P19" s="78">
        <f>'List of Courses'!P25</f>
        <v>0</v>
      </c>
      <c r="Q19" s="78">
        <f>'List of Courses'!Q25</f>
        <v>0</v>
      </c>
      <c r="R19" s="294"/>
      <c r="S19" s="78" t="str">
        <f>'List of Courses'!B29</f>
        <v>ECE151</v>
      </c>
      <c r="T19" s="78" t="str">
        <f>'List of Courses'!C29</f>
        <v xml:space="preserve">Introduction to Programming </v>
      </c>
      <c r="U19" s="78">
        <f>'List of Courses'!D29</f>
        <v>3</v>
      </c>
      <c r="V19" s="78">
        <f>'List of Courses'!E29</f>
        <v>5</v>
      </c>
      <c r="W19" s="78">
        <f>'List of Courses'!F29</f>
        <v>125</v>
      </c>
      <c r="X19" s="78">
        <f>'List of Courses'!G29</f>
        <v>2</v>
      </c>
      <c r="Y19" s="78">
        <f>'List of Courses'!H29</f>
        <v>0</v>
      </c>
      <c r="Z19" s="78">
        <f>'List of Courses'!I29</f>
        <v>2</v>
      </c>
      <c r="AA19" s="78">
        <f>'List of Courses'!J29</f>
        <v>4</v>
      </c>
      <c r="AB19" s="78" t="str">
        <f>'List of Courses'!K29</f>
        <v>--</v>
      </c>
      <c r="AC19" s="78">
        <f>'List of Courses'!L29</f>
        <v>0</v>
      </c>
      <c r="AD19" s="78">
        <f>'List of Courses'!M29</f>
        <v>1</v>
      </c>
      <c r="AE19" s="78">
        <f>'List of Courses'!N29</f>
        <v>0</v>
      </c>
      <c r="AF19" s="78">
        <f>'List of Courses'!O29</f>
        <v>0</v>
      </c>
      <c r="AG19" s="78">
        <f>'List of Courses'!P29</f>
        <v>0</v>
      </c>
      <c r="AH19" s="78">
        <f>'List of Courses'!Q29</f>
        <v>0</v>
      </c>
    </row>
    <row r="20" spans="1:34" x14ac:dyDescent="0.3">
      <c r="A20" s="292"/>
      <c r="B20" s="78" t="str">
        <f>'List of Courses'!B26</f>
        <v>INT E1</v>
      </c>
      <c r="C20" s="78" t="str">
        <f>'List of Courses'!C26</f>
        <v>Engineering History Electives</v>
      </c>
      <c r="D20" s="78">
        <f>'List of Courses'!D26</f>
        <v>3</v>
      </c>
      <c r="E20" s="78">
        <f>'List of Courses'!E26</f>
        <v>5</v>
      </c>
      <c r="F20" s="78">
        <f>'List of Courses'!F26</f>
        <v>125</v>
      </c>
      <c r="G20" s="78">
        <f>'List of Courses'!G26</f>
        <v>2</v>
      </c>
      <c r="H20" s="78">
        <f>'List of Courses'!H26</f>
        <v>2</v>
      </c>
      <c r="I20" s="78">
        <f>'List of Courses'!I26</f>
        <v>0</v>
      </c>
      <c r="J20" s="78">
        <f>'List of Courses'!J26</f>
        <v>4</v>
      </c>
      <c r="K20" s="78" t="str">
        <f>'List of Courses'!K26</f>
        <v>--</v>
      </c>
      <c r="L20" s="78">
        <f>'List of Courses'!L26</f>
        <v>0</v>
      </c>
      <c r="M20" s="78">
        <f>'List of Courses'!M26</f>
        <v>1</v>
      </c>
      <c r="N20" s="78">
        <f>'List of Courses'!N26</f>
        <v>0</v>
      </c>
      <c r="O20" s="78">
        <f>'List of Courses'!O26</f>
        <v>0</v>
      </c>
      <c r="P20" s="78">
        <f>'List of Courses'!P26</f>
        <v>0</v>
      </c>
      <c r="Q20" s="81">
        <f>'List of Courses'!Q26</f>
        <v>1</v>
      </c>
      <c r="R20" s="294"/>
      <c r="S20" s="79" t="str">
        <f>'List of Courses'!B30</f>
        <v>CVL211</v>
      </c>
      <c r="T20" s="79" t="str">
        <f>'List of Courses'!C30</f>
        <v>Structural Analysis-1</v>
      </c>
      <c r="U20" s="79">
        <f>'List of Courses'!D30</f>
        <v>3</v>
      </c>
      <c r="V20" s="79">
        <f>'List of Courses'!E30</f>
        <v>5</v>
      </c>
      <c r="W20" s="79">
        <f>'List of Courses'!F30</f>
        <v>125</v>
      </c>
      <c r="X20" s="79">
        <f>'List of Courses'!G30</f>
        <v>2</v>
      </c>
      <c r="Y20" s="79">
        <f>'List of Courses'!H30</f>
        <v>2</v>
      </c>
      <c r="Z20" s="79">
        <f>'List of Courses'!I30</f>
        <v>0</v>
      </c>
      <c r="AA20" s="79">
        <f>'List of Courses'!J30</f>
        <v>4</v>
      </c>
      <c r="AB20" s="79" t="str">
        <f>'List of Courses'!K30</f>
        <v>MEC111</v>
      </c>
      <c r="AC20" s="79">
        <f>'List of Courses'!L30</f>
        <v>0</v>
      </c>
      <c r="AD20" s="79">
        <f>'List of Courses'!M30</f>
        <v>0</v>
      </c>
      <c r="AE20" s="79">
        <f>'List of Courses'!N30</f>
        <v>0</v>
      </c>
      <c r="AF20" s="79">
        <f>'List of Courses'!O30</f>
        <v>1</v>
      </c>
      <c r="AG20" s="79">
        <f>'List of Courses'!P30</f>
        <v>0</v>
      </c>
      <c r="AH20" s="79">
        <f>'List of Courses'!Q30</f>
        <v>0</v>
      </c>
    </row>
    <row r="21" spans="1:34" x14ac:dyDescent="0.3">
      <c r="A21" s="292"/>
      <c r="B21" s="78"/>
      <c r="C21" s="78"/>
      <c r="D21" s="78"/>
      <c r="E21" s="78"/>
      <c r="F21" s="78"/>
      <c r="G21" s="78"/>
      <c r="H21" s="78"/>
      <c r="I21" s="78"/>
      <c r="J21" s="78"/>
      <c r="K21" s="78"/>
      <c r="L21" s="78"/>
      <c r="M21" s="78"/>
      <c r="N21" s="78"/>
      <c r="O21" s="78"/>
      <c r="P21" s="78"/>
      <c r="Q21" s="78"/>
      <c r="R21" s="295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</row>
    <row r="22" spans="1:34" x14ac:dyDescent="0.3">
      <c r="B22" s="22"/>
      <c r="C22" s="22"/>
      <c r="D22" s="93">
        <f t="shared" ref="D22:I22" si="2">SUM(D14:D21)</f>
        <v>18</v>
      </c>
      <c r="E22" s="93">
        <f>SUM(E14:E21)</f>
        <v>30</v>
      </c>
      <c r="F22" s="93">
        <f t="shared" si="2"/>
        <v>750</v>
      </c>
      <c r="G22" s="93">
        <f t="shared" si="2"/>
        <v>11</v>
      </c>
      <c r="H22" s="93">
        <f t="shared" si="2"/>
        <v>10</v>
      </c>
      <c r="I22" s="93">
        <f t="shared" si="2"/>
        <v>5</v>
      </c>
      <c r="J22" s="93">
        <f>SUM(J14:J21)</f>
        <v>26</v>
      </c>
      <c r="K22" s="22"/>
      <c r="L22" s="22"/>
      <c r="M22" s="22"/>
      <c r="N22" s="22"/>
      <c r="O22" s="22"/>
      <c r="P22" s="22"/>
      <c r="Q22" s="22"/>
      <c r="S22" s="22"/>
      <c r="T22" s="22"/>
      <c r="U22" s="93">
        <f t="shared" ref="U22:AA22" si="3">SUM(U14:U21)</f>
        <v>18</v>
      </c>
      <c r="V22" s="93">
        <f t="shared" si="3"/>
        <v>30</v>
      </c>
      <c r="W22" s="93">
        <f t="shared" si="3"/>
        <v>750</v>
      </c>
      <c r="X22" s="93">
        <f t="shared" si="3"/>
        <v>13</v>
      </c>
      <c r="Y22" s="93">
        <f t="shared" si="3"/>
        <v>7</v>
      </c>
      <c r="Z22" s="93">
        <f t="shared" si="3"/>
        <v>3</v>
      </c>
      <c r="AA22" s="93">
        <f t="shared" si="3"/>
        <v>23</v>
      </c>
      <c r="AB22" s="22"/>
      <c r="AC22" s="22"/>
      <c r="AD22" s="22"/>
      <c r="AE22" s="22"/>
      <c r="AF22" s="22"/>
      <c r="AG22" s="22"/>
      <c r="AH22" s="22"/>
    </row>
    <row r="23" spans="1:34" ht="14.4" customHeight="1" x14ac:dyDescent="0.3"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4"/>
      <c r="M23" s="24"/>
      <c r="N23" s="24"/>
      <c r="O23" s="24"/>
      <c r="P23" s="24"/>
      <c r="Q23" s="24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</row>
    <row r="24" spans="1:34" ht="14.4" customHeight="1" x14ac:dyDescent="0.3">
      <c r="A24" s="292" t="s">
        <v>33</v>
      </c>
      <c r="B24" s="305" t="s">
        <v>17</v>
      </c>
      <c r="C24" s="305" t="s">
        <v>18</v>
      </c>
      <c r="D24" s="305" t="s">
        <v>1</v>
      </c>
      <c r="E24" s="305"/>
      <c r="F24" s="305"/>
      <c r="G24" s="305" t="s">
        <v>2</v>
      </c>
      <c r="H24" s="305"/>
      <c r="I24" s="305"/>
      <c r="J24" s="305"/>
      <c r="K24" s="304" t="s">
        <v>19</v>
      </c>
      <c r="L24" s="304" t="s">
        <v>20</v>
      </c>
      <c r="M24" s="304" t="s">
        <v>21</v>
      </c>
      <c r="N24" s="306" t="s">
        <v>111</v>
      </c>
      <c r="O24" s="304" t="s">
        <v>22</v>
      </c>
      <c r="P24" s="304" t="s">
        <v>98</v>
      </c>
      <c r="Q24" s="304" t="s">
        <v>89</v>
      </c>
      <c r="R24" s="293" t="s">
        <v>34</v>
      </c>
      <c r="S24" s="305" t="s">
        <v>17</v>
      </c>
      <c r="T24" s="305" t="s">
        <v>18</v>
      </c>
      <c r="U24" s="305" t="s">
        <v>1</v>
      </c>
      <c r="V24" s="305"/>
      <c r="W24" s="305"/>
      <c r="X24" s="305" t="s">
        <v>2</v>
      </c>
      <c r="Y24" s="305"/>
      <c r="Z24" s="305"/>
      <c r="AA24" s="305"/>
      <c r="AB24" s="304" t="s">
        <v>19</v>
      </c>
      <c r="AC24" s="304" t="s">
        <v>20</v>
      </c>
      <c r="AD24" s="304" t="s">
        <v>21</v>
      </c>
      <c r="AE24" s="306" t="s">
        <v>111</v>
      </c>
      <c r="AF24" s="304" t="s">
        <v>22</v>
      </c>
      <c r="AG24" s="304" t="s">
        <v>98</v>
      </c>
      <c r="AH24" s="304" t="s">
        <v>89</v>
      </c>
    </row>
    <row r="25" spans="1:34" x14ac:dyDescent="0.3">
      <c r="A25" s="292"/>
      <c r="B25" s="305"/>
      <c r="C25" s="305"/>
      <c r="D25" s="144" t="s">
        <v>3</v>
      </c>
      <c r="E25" s="144" t="s">
        <v>4</v>
      </c>
      <c r="F25" s="144" t="s">
        <v>5</v>
      </c>
      <c r="G25" s="144" t="s">
        <v>6</v>
      </c>
      <c r="H25" s="144" t="s">
        <v>7</v>
      </c>
      <c r="I25" s="144" t="s">
        <v>8</v>
      </c>
      <c r="J25" s="144" t="s">
        <v>9</v>
      </c>
      <c r="K25" s="304"/>
      <c r="L25" s="304"/>
      <c r="M25" s="304"/>
      <c r="N25" s="306"/>
      <c r="O25" s="304"/>
      <c r="P25" s="304"/>
      <c r="Q25" s="304"/>
      <c r="R25" s="294"/>
      <c r="S25" s="305"/>
      <c r="T25" s="305"/>
      <c r="U25" s="144" t="s">
        <v>3</v>
      </c>
      <c r="V25" s="144" t="s">
        <v>4</v>
      </c>
      <c r="W25" s="144" t="s">
        <v>5</v>
      </c>
      <c r="X25" s="144" t="s">
        <v>6</v>
      </c>
      <c r="Y25" s="144" t="s">
        <v>7</v>
      </c>
      <c r="Z25" s="144" t="s">
        <v>8</v>
      </c>
      <c r="AA25" s="144" t="s">
        <v>9</v>
      </c>
      <c r="AB25" s="304"/>
      <c r="AC25" s="304"/>
      <c r="AD25" s="304"/>
      <c r="AE25" s="306"/>
      <c r="AF25" s="304"/>
      <c r="AG25" s="304"/>
      <c r="AH25" s="304"/>
    </row>
    <row r="26" spans="1:34" ht="14.4" customHeight="1" x14ac:dyDescent="0.3">
      <c r="A26" s="292"/>
      <c r="B26" s="19" t="str">
        <f>'List of Courses'!B6</f>
        <v>EGL213</v>
      </c>
      <c r="C26" s="19" t="str">
        <f>'List of Courses'!C6</f>
        <v>Writing Skills</v>
      </c>
      <c r="D26" s="19">
        <f>'List of Courses'!D6</f>
        <v>3</v>
      </c>
      <c r="E26" s="19">
        <f>'List of Courses'!E6</f>
        <v>5</v>
      </c>
      <c r="F26" s="19">
        <f>'List of Courses'!F6</f>
        <v>125</v>
      </c>
      <c r="G26" s="19">
        <f>'List of Courses'!G6</f>
        <v>3</v>
      </c>
      <c r="H26" s="19">
        <f>'List of Courses'!H6</f>
        <v>0</v>
      </c>
      <c r="I26" s="19">
        <f>'List of Courses'!I6</f>
        <v>0</v>
      </c>
      <c r="J26" s="19">
        <f>'List of Courses'!J6</f>
        <v>3</v>
      </c>
      <c r="K26" s="19" t="str">
        <f>'List of Courses'!K6</f>
        <v>EGL112</v>
      </c>
      <c r="L26" s="19">
        <f>'List of Courses'!L6</f>
        <v>1</v>
      </c>
      <c r="M26" s="19">
        <f>'List of Courses'!M6</f>
        <v>0</v>
      </c>
      <c r="N26" s="19">
        <f>'List of Courses'!N6</f>
        <v>0</v>
      </c>
      <c r="O26" s="19">
        <f>'List of Courses'!O6</f>
        <v>0</v>
      </c>
      <c r="P26" s="19">
        <f>'List of Courses'!P6</f>
        <v>0</v>
      </c>
      <c r="Q26" s="19">
        <f>'List of Courses'!Q6</f>
        <v>0</v>
      </c>
      <c r="R26" s="294"/>
      <c r="S26" s="19" t="str">
        <f>'List of Courses'!B7</f>
        <v>EGL214</v>
      </c>
      <c r="T26" s="19" t="str">
        <f>'List of Courses'!C7</f>
        <v>Communication and Presentation Skills</v>
      </c>
      <c r="U26" s="19">
        <f>'List of Courses'!D7</f>
        <v>3</v>
      </c>
      <c r="V26" s="19">
        <f>'List of Courses'!E7</f>
        <v>5</v>
      </c>
      <c r="W26" s="19">
        <f>'List of Courses'!F7</f>
        <v>125</v>
      </c>
      <c r="X26" s="19">
        <f>'List of Courses'!G7</f>
        <v>3</v>
      </c>
      <c r="Y26" s="19">
        <f>'List of Courses'!H7</f>
        <v>0</v>
      </c>
      <c r="Z26" s="19">
        <f>'List of Courses'!I7</f>
        <v>0</v>
      </c>
      <c r="AA26" s="19">
        <f>'List of Courses'!J7</f>
        <v>3</v>
      </c>
      <c r="AB26" s="19" t="str">
        <f>'List of Courses'!K7</f>
        <v>EGL112</v>
      </c>
      <c r="AC26" s="19">
        <f>'List of Courses'!L7</f>
        <v>1</v>
      </c>
      <c r="AD26" s="19">
        <f>'List of Courses'!M7</f>
        <v>0</v>
      </c>
      <c r="AE26" s="19">
        <f>'List of Courses'!N7</f>
        <v>0</v>
      </c>
      <c r="AF26" s="19">
        <f>'List of Courses'!O7</f>
        <v>0</v>
      </c>
      <c r="AG26" s="19">
        <f>'List of Courses'!P7</f>
        <v>0</v>
      </c>
      <c r="AH26" s="19">
        <f>'List of Courses'!Q7</f>
        <v>0</v>
      </c>
    </row>
    <row r="27" spans="1:34" x14ac:dyDescent="0.3">
      <c r="A27" s="292"/>
      <c r="B27" s="78" t="str">
        <f>'List of Courses'!B13</f>
        <v>MTH214</v>
      </c>
      <c r="C27" s="78" t="str">
        <f>'List of Courses'!C13</f>
        <v xml:space="preserve">Linear Algebra &amp; Introduction to Machine Learning </v>
      </c>
      <c r="D27" s="78">
        <f>'List of Courses'!D13</f>
        <v>3</v>
      </c>
      <c r="E27" s="78">
        <f>'List of Courses'!E13</f>
        <v>5</v>
      </c>
      <c r="F27" s="78">
        <f>'List of Courses'!F13</f>
        <v>125</v>
      </c>
      <c r="G27" s="78">
        <f>'List of Courses'!G13</f>
        <v>2</v>
      </c>
      <c r="H27" s="78">
        <f>'List of Courses'!H13</f>
        <v>2</v>
      </c>
      <c r="I27" s="78">
        <f>'List of Courses'!I13</f>
        <v>0</v>
      </c>
      <c r="J27" s="78">
        <f>'List of Courses'!J13</f>
        <v>4</v>
      </c>
      <c r="K27" s="78" t="str">
        <f>'List of Courses'!K13</f>
        <v>--</v>
      </c>
      <c r="L27" s="78">
        <f>'List of Courses'!L13</f>
        <v>0</v>
      </c>
      <c r="M27" s="78">
        <f>'List of Courses'!M13</f>
        <v>1</v>
      </c>
      <c r="N27" s="20">
        <f>'List of Courses'!N13</f>
        <v>1</v>
      </c>
      <c r="O27" s="78">
        <f>'List of Courses'!O13</f>
        <v>0</v>
      </c>
      <c r="P27" s="78">
        <f>'List of Courses'!P13</f>
        <v>0</v>
      </c>
      <c r="Q27" s="78">
        <f>'List of Courses'!Q13</f>
        <v>0</v>
      </c>
      <c r="R27" s="294"/>
      <c r="S27" s="79" t="str">
        <f>'List of Courses'!B14</f>
        <v>MTH215</v>
      </c>
      <c r="T27" s="79" t="str">
        <f>'List of Courses'!C14</f>
        <v>Differential Equations</v>
      </c>
      <c r="U27" s="79">
        <f>'List of Courses'!D14</f>
        <v>3</v>
      </c>
      <c r="V27" s="79">
        <f>'List of Courses'!E14</f>
        <v>5</v>
      </c>
      <c r="W27" s="79">
        <f>'List of Courses'!F14</f>
        <v>125</v>
      </c>
      <c r="X27" s="79">
        <f>'List of Courses'!G14</f>
        <v>2</v>
      </c>
      <c r="Y27" s="79">
        <f>'List of Courses'!H14</f>
        <v>2</v>
      </c>
      <c r="Z27" s="79">
        <f>'List of Courses'!I14</f>
        <v>0</v>
      </c>
      <c r="AA27" s="79">
        <f>'List of Courses'!J14</f>
        <v>4</v>
      </c>
      <c r="AB27" s="79" t="str">
        <f>'List of Courses'!K14</f>
        <v>MTH112</v>
      </c>
      <c r="AC27" s="79">
        <f>'List of Courses'!L14</f>
        <v>0</v>
      </c>
      <c r="AD27" s="79">
        <f>'List of Courses'!M14</f>
        <v>0</v>
      </c>
      <c r="AE27" s="20">
        <f>'List of Courses'!N14</f>
        <v>1</v>
      </c>
      <c r="AF27" s="79">
        <f>'List of Courses'!O14</f>
        <v>1</v>
      </c>
      <c r="AG27" s="79">
        <f>'List of Courses'!P14</f>
        <v>0</v>
      </c>
      <c r="AH27" s="79">
        <f>'List of Courses'!Q14</f>
        <v>0</v>
      </c>
    </row>
    <row r="28" spans="1:34" x14ac:dyDescent="0.3">
      <c r="A28" s="292"/>
      <c r="B28" s="79" t="str">
        <f>'List of Courses'!B34</f>
        <v>CVL281</v>
      </c>
      <c r="C28" s="79" t="str">
        <f>'List of Courses'!C34</f>
        <v xml:space="preserve">Introduction to Surveying </v>
      </c>
      <c r="D28" s="79">
        <f>'List of Courses'!D34</f>
        <v>3</v>
      </c>
      <c r="E28" s="79">
        <f>'List of Courses'!E34</f>
        <v>5</v>
      </c>
      <c r="F28" s="79">
        <f>'List of Courses'!F34</f>
        <v>125</v>
      </c>
      <c r="G28" s="79">
        <f>'List of Courses'!G34</f>
        <v>1</v>
      </c>
      <c r="H28" s="79">
        <f>'List of Courses'!H34</f>
        <v>2</v>
      </c>
      <c r="I28" s="79">
        <f>'List of Courses'!I34</f>
        <v>2</v>
      </c>
      <c r="J28" s="79">
        <f>'List of Courses'!J34</f>
        <v>5</v>
      </c>
      <c r="K28" s="79" t="str">
        <f>'List of Courses'!K34</f>
        <v>--</v>
      </c>
      <c r="L28" s="79">
        <f>'List of Courses'!L34</f>
        <v>0</v>
      </c>
      <c r="M28" s="79">
        <f>'List of Courses'!M34</f>
        <v>0</v>
      </c>
      <c r="N28" s="79">
        <f>'List of Courses'!N34</f>
        <v>0</v>
      </c>
      <c r="O28" s="79">
        <f>'List of Courses'!O34</f>
        <v>1</v>
      </c>
      <c r="P28" s="79">
        <f>'List of Courses'!P34</f>
        <v>0</v>
      </c>
      <c r="Q28" s="79">
        <f>'List of Courses'!Q34</f>
        <v>0</v>
      </c>
      <c r="R28" s="294"/>
      <c r="S28" s="79" t="str">
        <f>'List of Courses'!B33</f>
        <v>CVL231</v>
      </c>
      <c r="T28" s="79" t="str">
        <f>'List of Courses'!C33</f>
        <v>Construction Project Management</v>
      </c>
      <c r="U28" s="79">
        <f>'List of Courses'!D33</f>
        <v>3</v>
      </c>
      <c r="V28" s="79">
        <f>'List of Courses'!E33</f>
        <v>5</v>
      </c>
      <c r="W28" s="79">
        <f>'List of Courses'!F33</f>
        <v>125</v>
      </c>
      <c r="X28" s="79">
        <f>'List of Courses'!G33</f>
        <v>2</v>
      </c>
      <c r="Y28" s="79">
        <f>'List of Courses'!H33</f>
        <v>2</v>
      </c>
      <c r="Z28" s="79">
        <f>'List of Courses'!I33</f>
        <v>0</v>
      </c>
      <c r="AA28" s="79">
        <f>'List of Courses'!J33</f>
        <v>4</v>
      </c>
      <c r="AB28" s="79" t="str">
        <f>'List of Courses'!K33</f>
        <v>--</v>
      </c>
      <c r="AC28" s="79">
        <f>'List of Courses'!L33</f>
        <v>0</v>
      </c>
      <c r="AD28" s="79">
        <f>'List of Courses'!M33</f>
        <v>0</v>
      </c>
      <c r="AE28" s="79">
        <f>'List of Courses'!N33</f>
        <v>0</v>
      </c>
      <c r="AF28" s="79">
        <f>'List of Courses'!O33</f>
        <v>1</v>
      </c>
      <c r="AG28" s="79">
        <f>'List of Courses'!P33</f>
        <v>0</v>
      </c>
      <c r="AH28" s="79">
        <f>'List of Courses'!Q33</f>
        <v>0</v>
      </c>
    </row>
    <row r="29" spans="1:34" ht="15" customHeight="1" x14ac:dyDescent="0.3">
      <c r="A29" s="292"/>
      <c r="B29" s="83" t="str">
        <f>'List of Courses'!B35</f>
        <v>CVL282</v>
      </c>
      <c r="C29" s="83" t="str">
        <f>'List of Courses'!C35</f>
        <v xml:space="preserve">Civil Engineering Drafting </v>
      </c>
      <c r="D29" s="83">
        <f>'List of Courses'!D35</f>
        <v>3</v>
      </c>
      <c r="E29" s="83">
        <f>'List of Courses'!E35</f>
        <v>5</v>
      </c>
      <c r="F29" s="83">
        <f>'List of Courses'!F35</f>
        <v>125</v>
      </c>
      <c r="G29" s="83">
        <f>'List of Courses'!G35</f>
        <v>1</v>
      </c>
      <c r="H29" s="83">
        <f>'List of Courses'!H35</f>
        <v>2</v>
      </c>
      <c r="I29" s="83">
        <f>'List of Courses'!I35</f>
        <v>2</v>
      </c>
      <c r="J29" s="83">
        <f>'List of Courses'!J35</f>
        <v>5</v>
      </c>
      <c r="K29" s="83" t="str">
        <f>'List of Courses'!K35</f>
        <v>INT121</v>
      </c>
      <c r="L29" s="83">
        <f>'List of Courses'!L35</f>
        <v>0</v>
      </c>
      <c r="M29" s="83">
        <f>'List of Courses'!M35</f>
        <v>0</v>
      </c>
      <c r="N29" s="83">
        <f>'List of Courses'!N35</f>
        <v>0</v>
      </c>
      <c r="O29" s="83">
        <f>'List of Courses'!O35</f>
        <v>1</v>
      </c>
      <c r="P29" s="83">
        <f>'List of Courses'!P35</f>
        <v>0</v>
      </c>
      <c r="Q29" s="83">
        <f>'List of Courses'!Q35</f>
        <v>0</v>
      </c>
      <c r="R29" s="294"/>
      <c r="S29" s="79" t="str">
        <f>'List of Courses'!B36</f>
        <v>CVL311</v>
      </c>
      <c r="T29" s="79" t="str">
        <f>'List of Courses'!C36</f>
        <v>Reinforced Concrete Design-1</v>
      </c>
      <c r="U29" s="79">
        <f>'List of Courses'!D36</f>
        <v>3</v>
      </c>
      <c r="V29" s="79">
        <f>'List of Courses'!E36</f>
        <v>5</v>
      </c>
      <c r="W29" s="79">
        <f>'List of Courses'!F36</f>
        <v>125</v>
      </c>
      <c r="X29" s="79">
        <f>'List of Courses'!G36</f>
        <v>2</v>
      </c>
      <c r="Y29" s="79">
        <f>'List of Courses'!H36</f>
        <v>2</v>
      </c>
      <c r="Z29" s="79">
        <f>'List of Courses'!I36</f>
        <v>0</v>
      </c>
      <c r="AA29" s="79">
        <f>'List of Courses'!J36</f>
        <v>4</v>
      </c>
      <c r="AB29" s="79" t="str">
        <f>'List of Courses'!K36</f>
        <v>CVL211</v>
      </c>
      <c r="AC29" s="79">
        <f>'List of Courses'!L36</f>
        <v>0</v>
      </c>
      <c r="AD29" s="79">
        <f>'List of Courses'!M36</f>
        <v>0</v>
      </c>
      <c r="AE29" s="79">
        <f>'List of Courses'!N36</f>
        <v>0</v>
      </c>
      <c r="AF29" s="79">
        <f>'List of Courses'!O36</f>
        <v>1</v>
      </c>
      <c r="AG29" s="79">
        <f>'List of Courses'!P36</f>
        <v>0</v>
      </c>
      <c r="AH29" s="79">
        <f>'List of Courses'!Q36</f>
        <v>0</v>
      </c>
    </row>
    <row r="30" spans="1:34" x14ac:dyDescent="0.3">
      <c r="A30" s="292"/>
      <c r="B30" s="79" t="str">
        <f>'List of Courses'!B31</f>
        <v>CVL212</v>
      </c>
      <c r="C30" s="79" t="str">
        <f>'List of Courses'!C31</f>
        <v>Structural Analysis-2</v>
      </c>
      <c r="D30" s="79">
        <f>'List of Courses'!D31</f>
        <v>3</v>
      </c>
      <c r="E30" s="79">
        <f>'List of Courses'!E31</f>
        <v>5</v>
      </c>
      <c r="F30" s="79">
        <f>'List of Courses'!F31</f>
        <v>125</v>
      </c>
      <c r="G30" s="79">
        <f>'List of Courses'!G31</f>
        <v>2</v>
      </c>
      <c r="H30" s="79">
        <f>'List of Courses'!H31</f>
        <v>2</v>
      </c>
      <c r="I30" s="79">
        <f>'List of Courses'!I31</f>
        <v>0</v>
      </c>
      <c r="J30" s="79">
        <f>'List of Courses'!J31</f>
        <v>4</v>
      </c>
      <c r="K30" s="79" t="str">
        <f>'List of Courses'!K31</f>
        <v>CVL211</v>
      </c>
      <c r="L30" s="79">
        <f>'List of Courses'!L31</f>
        <v>0</v>
      </c>
      <c r="M30" s="79">
        <f>'List of Courses'!M31</f>
        <v>0</v>
      </c>
      <c r="N30" s="79">
        <f>'List of Courses'!N31</f>
        <v>0</v>
      </c>
      <c r="O30" s="79">
        <f>'List of Courses'!O31</f>
        <v>1</v>
      </c>
      <c r="P30" s="79">
        <f>'List of Courses'!P31</f>
        <v>0</v>
      </c>
      <c r="Q30" s="79">
        <f>'List of Courses'!Q31</f>
        <v>0</v>
      </c>
      <c r="R30" s="294"/>
      <c r="S30" s="79" t="str">
        <f>'List of Courses'!B41</f>
        <v>CVL321</v>
      </c>
      <c r="T30" s="79" t="str">
        <f>'List of Courses'!C41</f>
        <v>Engineering Materials-2</v>
      </c>
      <c r="U30" s="79">
        <f>'List of Courses'!D41</f>
        <v>3</v>
      </c>
      <c r="V30" s="79">
        <f>'List of Courses'!E41</f>
        <v>5</v>
      </c>
      <c r="W30" s="79">
        <f>'List of Courses'!F41</f>
        <v>125</v>
      </c>
      <c r="X30" s="79">
        <f>'List of Courses'!G41</f>
        <v>2</v>
      </c>
      <c r="Y30" s="79">
        <f>'List of Courses'!H41</f>
        <v>1</v>
      </c>
      <c r="Z30" s="79">
        <f>'List of Courses'!I41</f>
        <v>1</v>
      </c>
      <c r="AA30" s="79">
        <f>'List of Courses'!J41</f>
        <v>4</v>
      </c>
      <c r="AB30" s="79" t="str">
        <f>'List of Courses'!K41</f>
        <v>CVL221</v>
      </c>
      <c r="AC30" s="79">
        <f>'List of Courses'!L41</f>
        <v>0</v>
      </c>
      <c r="AD30" s="79">
        <f>'List of Courses'!M41</f>
        <v>0</v>
      </c>
      <c r="AE30" s="79">
        <f>'List of Courses'!N41</f>
        <v>0</v>
      </c>
      <c r="AF30" s="79">
        <f>'List of Courses'!O41</f>
        <v>1</v>
      </c>
      <c r="AG30" s="79">
        <f>'List of Courses'!P41</f>
        <v>0</v>
      </c>
      <c r="AH30" s="79">
        <f>'List of Courses'!Q41</f>
        <v>0</v>
      </c>
    </row>
    <row r="31" spans="1:34" x14ac:dyDescent="0.3">
      <c r="A31" s="292"/>
      <c r="B31" s="79" t="str">
        <f>'List of Courses'!B32</f>
        <v>CVL221</v>
      </c>
      <c r="C31" s="79" t="str">
        <f>'List of Courses'!C32</f>
        <v>Engineering Materials-1</v>
      </c>
      <c r="D31" s="79">
        <f>'List of Courses'!D32</f>
        <v>3</v>
      </c>
      <c r="E31" s="79">
        <f>'List of Courses'!E32</f>
        <v>5</v>
      </c>
      <c r="F31" s="79">
        <f>'List of Courses'!F32</f>
        <v>125</v>
      </c>
      <c r="G31" s="79">
        <f>'List of Courses'!G32</f>
        <v>2</v>
      </c>
      <c r="H31" s="79">
        <f>'List of Courses'!H32</f>
        <v>1</v>
      </c>
      <c r="I31" s="79">
        <f>'List of Courses'!I32</f>
        <v>1</v>
      </c>
      <c r="J31" s="79">
        <f>'List of Courses'!J32</f>
        <v>4</v>
      </c>
      <c r="K31" s="79" t="str">
        <f>'List of Courses'!K32</f>
        <v>--</v>
      </c>
      <c r="L31" s="79">
        <f>'List of Courses'!L32</f>
        <v>0</v>
      </c>
      <c r="M31" s="79">
        <f>'List of Courses'!M32</f>
        <v>0</v>
      </c>
      <c r="N31" s="79">
        <f>'List of Courses'!N32</f>
        <v>0</v>
      </c>
      <c r="O31" s="79">
        <f>'List of Courses'!O32</f>
        <v>1</v>
      </c>
      <c r="P31" s="79">
        <f>'List of Courses'!P32</f>
        <v>0</v>
      </c>
      <c r="Q31" s="79">
        <f>'List of Courses'!Q32</f>
        <v>0</v>
      </c>
      <c r="R31" s="294"/>
      <c r="S31" s="83" t="str">
        <f>'List of Courses'!B42</f>
        <v>CVL331</v>
      </c>
      <c r="T31" s="83" t="str">
        <f>'List of Courses'!C42</f>
        <v>Construction Engineering &amp; Methods</v>
      </c>
      <c r="U31" s="83">
        <f>'List of Courses'!D42</f>
        <v>3</v>
      </c>
      <c r="V31" s="83">
        <f>'List of Courses'!E42</f>
        <v>5</v>
      </c>
      <c r="W31" s="83">
        <f>'List of Courses'!F42</f>
        <v>125</v>
      </c>
      <c r="X31" s="83">
        <f>'List of Courses'!G42</f>
        <v>2</v>
      </c>
      <c r="Y31" s="83">
        <f>'List of Courses'!H42</f>
        <v>2</v>
      </c>
      <c r="Z31" s="83">
        <f>'List of Courses'!I42</f>
        <v>0</v>
      </c>
      <c r="AA31" s="83">
        <f>'List of Courses'!J42</f>
        <v>4</v>
      </c>
      <c r="AB31" s="83" t="str">
        <f>'List of Courses'!K42</f>
        <v>--</v>
      </c>
      <c r="AC31" s="83">
        <f>'List of Courses'!L42</f>
        <v>0</v>
      </c>
      <c r="AD31" s="83">
        <f>'List of Courses'!M42</f>
        <v>0</v>
      </c>
      <c r="AE31" s="83">
        <f>'List of Courses'!N42</f>
        <v>0</v>
      </c>
      <c r="AF31" s="83">
        <f>'List of Courses'!O42</f>
        <v>1</v>
      </c>
      <c r="AG31" s="83">
        <f>'List of Courses'!P42</f>
        <v>0</v>
      </c>
      <c r="AH31" s="83">
        <f>'List of Courses'!Q42</f>
        <v>0</v>
      </c>
    </row>
    <row r="32" spans="1:34" x14ac:dyDescent="0.3">
      <c r="A32" s="292"/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94"/>
      <c r="S32" s="79" t="str">
        <f>'List of Courses'!B49</f>
        <v>CVL391</v>
      </c>
      <c r="T32" s="79" t="str">
        <f>'List of Courses'!C49</f>
        <v>Practical Training-1</v>
      </c>
      <c r="U32" s="79">
        <f>'List of Courses'!D49</f>
        <v>0</v>
      </c>
      <c r="V32" s="79">
        <f>'List of Courses'!E49</f>
        <v>0</v>
      </c>
      <c r="W32" s="79">
        <f>'List of Courses'!F49</f>
        <v>0</v>
      </c>
      <c r="X32" s="79">
        <f>'List of Courses'!G49</f>
        <v>0</v>
      </c>
      <c r="Y32" s="79">
        <f>'List of Courses'!H49</f>
        <v>0</v>
      </c>
      <c r="Z32" s="79">
        <f>'List of Courses'!I49</f>
        <v>0</v>
      </c>
      <c r="AA32" s="79">
        <f>'List of Courses'!J49</f>
        <v>0</v>
      </c>
      <c r="AB32" s="79" t="str">
        <f>'List of Courses'!K49</f>
        <v>--</v>
      </c>
      <c r="AC32" s="79">
        <f>'List of Courses'!L49</f>
        <v>0</v>
      </c>
      <c r="AD32" s="79">
        <f>'List of Courses'!M49</f>
        <v>0</v>
      </c>
      <c r="AE32" s="79">
        <f>'List of Courses'!N49</f>
        <v>0</v>
      </c>
      <c r="AF32" s="79">
        <f>'List of Courses'!O49</f>
        <v>1</v>
      </c>
      <c r="AG32" s="79">
        <f>'List of Courses'!P49</f>
        <v>0</v>
      </c>
      <c r="AH32" s="79">
        <f>'List of Courses'!Q49</f>
        <v>0</v>
      </c>
    </row>
    <row r="33" spans="1:34" x14ac:dyDescent="0.3">
      <c r="A33" s="292"/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95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6"/>
      <c r="AH33" s="26"/>
    </row>
    <row r="34" spans="1:34" x14ac:dyDescent="0.3">
      <c r="B34" s="22"/>
      <c r="C34" s="22"/>
      <c r="D34" s="93">
        <f>SUM(D26:D33)</f>
        <v>18</v>
      </c>
      <c r="E34" s="93">
        <f>SUM(E26:E33)</f>
        <v>30</v>
      </c>
      <c r="F34" s="93">
        <f t="shared" ref="F34:I34" si="4">SUM(F26:F33)</f>
        <v>750</v>
      </c>
      <c r="G34" s="94">
        <f t="shared" si="4"/>
        <v>11</v>
      </c>
      <c r="H34" s="94">
        <f t="shared" si="4"/>
        <v>9</v>
      </c>
      <c r="I34" s="94">
        <f t="shared" si="4"/>
        <v>5</v>
      </c>
      <c r="J34" s="93">
        <f>SUM(J26:J33)</f>
        <v>25</v>
      </c>
      <c r="K34" s="22"/>
      <c r="L34" s="95"/>
      <c r="M34" s="95"/>
      <c r="N34" s="95"/>
      <c r="O34" s="95"/>
      <c r="P34" s="95"/>
      <c r="Q34" s="95"/>
      <c r="S34" s="22"/>
      <c r="T34" s="22"/>
      <c r="U34" s="93">
        <f t="shared" ref="U34:AA34" si="5">SUM(U26:U33)</f>
        <v>18</v>
      </c>
      <c r="V34" s="93">
        <f t="shared" si="5"/>
        <v>30</v>
      </c>
      <c r="W34" s="93">
        <f t="shared" si="5"/>
        <v>750</v>
      </c>
      <c r="X34" s="93">
        <f t="shared" si="5"/>
        <v>13</v>
      </c>
      <c r="Y34" s="93">
        <f t="shared" si="5"/>
        <v>9</v>
      </c>
      <c r="Z34" s="93">
        <f t="shared" si="5"/>
        <v>1</v>
      </c>
      <c r="AA34" s="93">
        <f t="shared" si="5"/>
        <v>23</v>
      </c>
      <c r="AB34" s="22"/>
      <c r="AC34" s="24"/>
      <c r="AD34" s="24"/>
      <c r="AE34" s="24"/>
      <c r="AF34" s="24"/>
      <c r="AG34" s="24"/>
      <c r="AH34" s="22"/>
    </row>
    <row r="35" spans="1:34" x14ac:dyDescent="0.3"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4"/>
      <c r="M35" s="24"/>
      <c r="N35" s="24"/>
      <c r="O35" s="24"/>
      <c r="P35" s="24"/>
      <c r="Q35" s="24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</row>
    <row r="36" spans="1:34" ht="14.4" customHeight="1" x14ac:dyDescent="0.3">
      <c r="A36" s="292" t="s">
        <v>47</v>
      </c>
      <c r="B36" s="305" t="s">
        <v>17</v>
      </c>
      <c r="C36" s="305" t="s">
        <v>18</v>
      </c>
      <c r="D36" s="305" t="s">
        <v>1</v>
      </c>
      <c r="E36" s="305"/>
      <c r="F36" s="305"/>
      <c r="G36" s="305" t="s">
        <v>2</v>
      </c>
      <c r="H36" s="305"/>
      <c r="I36" s="305"/>
      <c r="J36" s="305"/>
      <c r="K36" s="304" t="s">
        <v>19</v>
      </c>
      <c r="L36" s="304" t="s">
        <v>20</v>
      </c>
      <c r="M36" s="304" t="s">
        <v>21</v>
      </c>
      <c r="N36" s="306" t="s">
        <v>111</v>
      </c>
      <c r="O36" s="304" t="s">
        <v>22</v>
      </c>
      <c r="P36" s="304" t="s">
        <v>98</v>
      </c>
      <c r="Q36" s="304" t="s">
        <v>89</v>
      </c>
      <c r="R36" s="293" t="s">
        <v>48</v>
      </c>
      <c r="S36" s="305" t="s">
        <v>17</v>
      </c>
      <c r="T36" s="305" t="s">
        <v>18</v>
      </c>
      <c r="U36" s="305" t="s">
        <v>1</v>
      </c>
      <c r="V36" s="305"/>
      <c r="W36" s="305"/>
      <c r="X36" s="305" t="s">
        <v>2</v>
      </c>
      <c r="Y36" s="305"/>
      <c r="Z36" s="305"/>
      <c r="AA36" s="305"/>
      <c r="AB36" s="304" t="s">
        <v>19</v>
      </c>
      <c r="AC36" s="304" t="s">
        <v>20</v>
      </c>
      <c r="AD36" s="304" t="s">
        <v>21</v>
      </c>
      <c r="AE36" s="306" t="s">
        <v>111</v>
      </c>
      <c r="AF36" s="304" t="s">
        <v>22</v>
      </c>
      <c r="AG36" s="304" t="s">
        <v>98</v>
      </c>
      <c r="AH36" s="304" t="s">
        <v>89</v>
      </c>
    </row>
    <row r="37" spans="1:34" x14ac:dyDescent="0.3">
      <c r="A37" s="292"/>
      <c r="B37" s="305"/>
      <c r="C37" s="305"/>
      <c r="D37" s="144" t="s">
        <v>3</v>
      </c>
      <c r="E37" s="144" t="s">
        <v>4</v>
      </c>
      <c r="F37" s="144" t="s">
        <v>5</v>
      </c>
      <c r="G37" s="144" t="s">
        <v>6</v>
      </c>
      <c r="H37" s="144" t="s">
        <v>7</v>
      </c>
      <c r="I37" s="144" t="s">
        <v>8</v>
      </c>
      <c r="J37" s="144" t="s">
        <v>9</v>
      </c>
      <c r="K37" s="304"/>
      <c r="L37" s="304"/>
      <c r="M37" s="304"/>
      <c r="N37" s="306"/>
      <c r="O37" s="304"/>
      <c r="P37" s="304"/>
      <c r="Q37" s="304"/>
      <c r="R37" s="294"/>
      <c r="S37" s="305"/>
      <c r="T37" s="305"/>
      <c r="U37" s="144" t="s">
        <v>3</v>
      </c>
      <c r="V37" s="144" t="s">
        <v>4</v>
      </c>
      <c r="W37" s="144" t="s">
        <v>5</v>
      </c>
      <c r="X37" s="144" t="s">
        <v>6</v>
      </c>
      <c r="Y37" s="144" t="s">
        <v>7</v>
      </c>
      <c r="Z37" s="144" t="s">
        <v>8</v>
      </c>
      <c r="AA37" s="144" t="s">
        <v>9</v>
      </c>
      <c r="AB37" s="304"/>
      <c r="AC37" s="304"/>
      <c r="AD37" s="304"/>
      <c r="AE37" s="306"/>
      <c r="AF37" s="304"/>
      <c r="AG37" s="304"/>
      <c r="AH37" s="304"/>
    </row>
    <row r="38" spans="1:34" ht="14.4" customHeight="1" x14ac:dyDescent="0.3">
      <c r="A38" s="292"/>
      <c r="B38" s="79" t="str">
        <f>'List of Courses'!B37</f>
        <v>CVL312</v>
      </c>
      <c r="C38" s="79" t="str">
        <f>'List of Courses'!C37</f>
        <v>Soil Mechanics</v>
      </c>
      <c r="D38" s="79">
        <f>'List of Courses'!D37</f>
        <v>3</v>
      </c>
      <c r="E38" s="79">
        <f>'List of Courses'!E37</f>
        <v>5</v>
      </c>
      <c r="F38" s="79">
        <f>'List of Courses'!F37</f>
        <v>125</v>
      </c>
      <c r="G38" s="79">
        <f>'List of Courses'!G37</f>
        <v>2</v>
      </c>
      <c r="H38" s="79">
        <f>'List of Courses'!H37</f>
        <v>1</v>
      </c>
      <c r="I38" s="79">
        <f>'List of Courses'!I37</f>
        <v>1</v>
      </c>
      <c r="J38" s="79">
        <f>'List of Courses'!J37</f>
        <v>4</v>
      </c>
      <c r="K38" s="79" t="str">
        <f>'List of Courses'!K37</f>
        <v>CVL221</v>
      </c>
      <c r="L38" s="79">
        <f>'List of Courses'!L37</f>
        <v>0</v>
      </c>
      <c r="M38" s="79">
        <f>'List of Courses'!M37</f>
        <v>0</v>
      </c>
      <c r="N38" s="79">
        <f>'List of Courses'!N37</f>
        <v>0</v>
      </c>
      <c r="O38" s="79">
        <f>'List of Courses'!O37</f>
        <v>1</v>
      </c>
      <c r="P38" s="79">
        <f>'List of Courses'!P37</f>
        <v>0</v>
      </c>
      <c r="Q38" s="79">
        <f>'List of Courses'!Q37</f>
        <v>0</v>
      </c>
      <c r="R38" s="294"/>
      <c r="S38" s="79" t="str">
        <f>'List of Courses'!B40</f>
        <v>CVL315</v>
      </c>
      <c r="T38" s="79" t="str">
        <f>'List of Courses'!C40</f>
        <v>Structural Steel Design</v>
      </c>
      <c r="U38" s="79">
        <f>'List of Courses'!D40</f>
        <v>3</v>
      </c>
      <c r="V38" s="79">
        <f>'List of Courses'!E40</f>
        <v>5</v>
      </c>
      <c r="W38" s="79">
        <f>'List of Courses'!F40</f>
        <v>125</v>
      </c>
      <c r="X38" s="79">
        <f>'List of Courses'!G40</f>
        <v>2</v>
      </c>
      <c r="Y38" s="79">
        <f>'List of Courses'!H40</f>
        <v>2</v>
      </c>
      <c r="Z38" s="79">
        <f>'List of Courses'!I40</f>
        <v>0</v>
      </c>
      <c r="AA38" s="79">
        <f>'List of Courses'!J40</f>
        <v>4</v>
      </c>
      <c r="AB38" s="79" t="str">
        <f>'List of Courses'!K40</f>
        <v>CVL212</v>
      </c>
      <c r="AC38" s="79">
        <f>'List of Courses'!L40</f>
        <v>0</v>
      </c>
      <c r="AD38" s="79">
        <f>'List of Courses'!M40</f>
        <v>0</v>
      </c>
      <c r="AE38" s="79">
        <f>'List of Courses'!N40</f>
        <v>0</v>
      </c>
      <c r="AF38" s="79">
        <f>'List of Courses'!O40</f>
        <v>1</v>
      </c>
      <c r="AG38" s="79">
        <f>'List of Courses'!P40</f>
        <v>0</v>
      </c>
      <c r="AH38" s="79">
        <f>'List of Courses'!Q40</f>
        <v>0</v>
      </c>
    </row>
    <row r="39" spans="1:34" x14ac:dyDescent="0.3">
      <c r="A39" s="292"/>
      <c r="B39" s="79" t="str">
        <f>'List of Courses'!B39</f>
        <v>CVL314</v>
      </c>
      <c r="C39" s="79" t="str">
        <f>'List of Courses'!C39</f>
        <v>Reinforced Concrete Design-2</v>
      </c>
      <c r="D39" s="79">
        <f>'List of Courses'!D39</f>
        <v>3</v>
      </c>
      <c r="E39" s="79">
        <f>'List of Courses'!E39</f>
        <v>5</v>
      </c>
      <c r="F39" s="79">
        <f>'List of Courses'!F39</f>
        <v>125</v>
      </c>
      <c r="G39" s="79">
        <f>'List of Courses'!G39</f>
        <v>2</v>
      </c>
      <c r="H39" s="79">
        <f>'List of Courses'!H39</f>
        <v>2</v>
      </c>
      <c r="I39" s="79">
        <f>'List of Courses'!I39</f>
        <v>0</v>
      </c>
      <c r="J39" s="79">
        <f>'List of Courses'!J39</f>
        <v>4</v>
      </c>
      <c r="K39" s="79" t="str">
        <f>'List of Courses'!K39</f>
        <v>CVL311</v>
      </c>
      <c r="L39" s="79">
        <f>'List of Courses'!L39</f>
        <v>0</v>
      </c>
      <c r="M39" s="79">
        <f>'List of Courses'!M39</f>
        <v>0</v>
      </c>
      <c r="N39" s="79">
        <f>'List of Courses'!N39</f>
        <v>0</v>
      </c>
      <c r="O39" s="79">
        <f>'List of Courses'!O39</f>
        <v>1</v>
      </c>
      <c r="P39" s="79">
        <f>'List of Courses'!P39</f>
        <v>0</v>
      </c>
      <c r="Q39" s="79">
        <f>'List of Courses'!Q39</f>
        <v>0</v>
      </c>
      <c r="R39" s="294"/>
      <c r="S39" s="83" t="str">
        <f>'List of Courses'!B45</f>
        <v>CVL334</v>
      </c>
      <c r="T39" s="83" t="str">
        <f>'List of Courses'!C45</f>
        <v>Construction Planning &amp; Scheduling</v>
      </c>
      <c r="U39" s="83">
        <f>'List of Courses'!D45</f>
        <v>3</v>
      </c>
      <c r="V39" s="83">
        <f>'List of Courses'!E45</f>
        <v>5</v>
      </c>
      <c r="W39" s="83">
        <f>'List of Courses'!F45</f>
        <v>125</v>
      </c>
      <c r="X39" s="83">
        <f>'List of Courses'!G45</f>
        <v>2</v>
      </c>
      <c r="Y39" s="83">
        <f>'List of Courses'!H45</f>
        <v>1</v>
      </c>
      <c r="Z39" s="83">
        <f>'List of Courses'!I45</f>
        <v>1</v>
      </c>
      <c r="AA39" s="83">
        <f>'List of Courses'!J45</f>
        <v>4</v>
      </c>
      <c r="AB39" s="83" t="str">
        <f>'List of Courses'!K45</f>
        <v>--</v>
      </c>
      <c r="AC39" s="83">
        <f>'List of Courses'!L45</f>
        <v>0</v>
      </c>
      <c r="AD39" s="83">
        <f>'List of Courses'!M45</f>
        <v>0</v>
      </c>
      <c r="AE39" s="83">
        <f>'List of Courses'!N45</f>
        <v>0</v>
      </c>
      <c r="AF39" s="83">
        <f>'List of Courses'!O45</f>
        <v>0</v>
      </c>
      <c r="AG39" s="83">
        <f>'List of Courses'!P45</f>
        <v>1</v>
      </c>
      <c r="AH39" s="83">
        <f>'List of Courses'!Q45</f>
        <v>0</v>
      </c>
    </row>
    <row r="40" spans="1:34" x14ac:dyDescent="0.3">
      <c r="A40" s="292"/>
      <c r="B40" s="80" t="str">
        <f>'List of Courses'!B43</f>
        <v>CVL332</v>
      </c>
      <c r="C40" s="80" t="str">
        <f>'List of Courses'!C43</f>
        <v>Quantity Surveying, Estimation and Specifications</v>
      </c>
      <c r="D40" s="80">
        <f>'List of Courses'!D43</f>
        <v>3</v>
      </c>
      <c r="E40" s="80">
        <f>'List of Courses'!E43</f>
        <v>5</v>
      </c>
      <c r="F40" s="80">
        <f>'List of Courses'!F43</f>
        <v>125</v>
      </c>
      <c r="G40" s="80">
        <f>'List of Courses'!G43</f>
        <v>2</v>
      </c>
      <c r="H40" s="80">
        <f>'List of Courses'!H43</f>
        <v>2</v>
      </c>
      <c r="I40" s="80">
        <f>'List of Courses'!I43</f>
        <v>0</v>
      </c>
      <c r="J40" s="80">
        <f>'List of Courses'!J43</f>
        <v>4</v>
      </c>
      <c r="K40" s="80" t="str">
        <f>'List of Courses'!K43</f>
        <v>CVL231</v>
      </c>
      <c r="L40" s="80">
        <f>'List of Courses'!L43</f>
        <v>0</v>
      </c>
      <c r="M40" s="80">
        <f>'List of Courses'!M43</f>
        <v>0</v>
      </c>
      <c r="N40" s="80">
        <f>'List of Courses'!N43</f>
        <v>0</v>
      </c>
      <c r="O40" s="80">
        <f>'List of Courses'!O43</f>
        <v>0</v>
      </c>
      <c r="P40" s="80">
        <f>'List of Courses'!P43</f>
        <v>1</v>
      </c>
      <c r="Q40" s="80">
        <f>'List of Courses'!Q43</f>
        <v>0</v>
      </c>
      <c r="R40" s="294"/>
      <c r="S40" s="79" t="str">
        <f>'List of Courses'!B50</f>
        <v>CVL392</v>
      </c>
      <c r="T40" s="79" t="str">
        <f>'List of Courses'!C50</f>
        <v>Practical Training-2</v>
      </c>
      <c r="U40" s="79">
        <f>'List of Courses'!D50</f>
        <v>0</v>
      </c>
      <c r="V40" s="79">
        <f>'List of Courses'!E50</f>
        <v>0</v>
      </c>
      <c r="W40" s="79">
        <f>'List of Courses'!F50</f>
        <v>0</v>
      </c>
      <c r="X40" s="79">
        <f>'List of Courses'!G50</f>
        <v>0</v>
      </c>
      <c r="Y40" s="79">
        <f>'List of Courses'!H50</f>
        <v>0</v>
      </c>
      <c r="Z40" s="79">
        <f>'List of Courses'!I50</f>
        <v>0</v>
      </c>
      <c r="AA40" s="79">
        <f>'List of Courses'!J50</f>
        <v>0</v>
      </c>
      <c r="AB40" s="79" t="str">
        <f>'List of Courses'!K50</f>
        <v>CVL391 (CO)</v>
      </c>
      <c r="AC40" s="79">
        <f>'List of Courses'!L50</f>
        <v>0</v>
      </c>
      <c r="AD40" s="79">
        <f>'List of Courses'!M50</f>
        <v>0</v>
      </c>
      <c r="AE40" s="79">
        <f>'List of Courses'!N50</f>
        <v>0</v>
      </c>
      <c r="AF40" s="79">
        <f>'List of Courses'!O50</f>
        <v>1</v>
      </c>
      <c r="AG40" s="79">
        <f>'List of Courses'!P50</f>
        <v>0</v>
      </c>
      <c r="AH40" s="79">
        <f>'List of Courses'!Q50</f>
        <v>0</v>
      </c>
    </row>
    <row r="41" spans="1:34" x14ac:dyDescent="0.3">
      <c r="A41" s="292"/>
      <c r="B41" s="83" t="str">
        <f>'List of Courses'!B44</f>
        <v>CVL333</v>
      </c>
      <c r="C41" s="83" t="str">
        <f>'List of Courses'!C44</f>
        <v>Civil Engineering Economics</v>
      </c>
      <c r="D41" s="83">
        <f>'List of Courses'!D44</f>
        <v>3</v>
      </c>
      <c r="E41" s="83">
        <f>'List of Courses'!E44</f>
        <v>5</v>
      </c>
      <c r="F41" s="83">
        <f>'List of Courses'!F44</f>
        <v>125</v>
      </c>
      <c r="G41" s="83">
        <f>'List of Courses'!G44</f>
        <v>2</v>
      </c>
      <c r="H41" s="83">
        <f>'List of Courses'!H44</f>
        <v>2</v>
      </c>
      <c r="I41" s="83">
        <f>'List of Courses'!I44</f>
        <v>0</v>
      </c>
      <c r="J41" s="83">
        <f>'List of Courses'!J44</f>
        <v>4</v>
      </c>
      <c r="K41" s="83" t="str">
        <f>'List of Courses'!K44</f>
        <v>--</v>
      </c>
      <c r="L41" s="83">
        <f>'List of Courses'!L44</f>
        <v>0</v>
      </c>
      <c r="M41" s="83">
        <f>'List of Courses'!M44</f>
        <v>0</v>
      </c>
      <c r="N41" s="83">
        <f>'List of Courses'!N44</f>
        <v>0</v>
      </c>
      <c r="O41" s="83">
        <f>'List of Courses'!O44</f>
        <v>0</v>
      </c>
      <c r="P41" s="83">
        <f>'List of Courses'!P44</f>
        <v>1</v>
      </c>
      <c r="Q41" s="83">
        <f>'List of Courses'!Q44</f>
        <v>0</v>
      </c>
      <c r="R41" s="294"/>
      <c r="S41" s="79" t="str">
        <f>'List of Courses'!B51</f>
        <v>CVL411</v>
      </c>
      <c r="T41" s="79" t="str">
        <f>'List of Courses'!C51</f>
        <v>Design &amp; Construction of Foundations</v>
      </c>
      <c r="U41" s="79">
        <f>'List of Courses'!D51</f>
        <v>3</v>
      </c>
      <c r="V41" s="79">
        <f>'List of Courses'!E51</f>
        <v>5</v>
      </c>
      <c r="W41" s="79">
        <f>'List of Courses'!F51</f>
        <v>125</v>
      </c>
      <c r="X41" s="79">
        <f>'List of Courses'!G51</f>
        <v>2</v>
      </c>
      <c r="Y41" s="79">
        <f>'List of Courses'!H51</f>
        <v>2</v>
      </c>
      <c r="Z41" s="79">
        <f>'List of Courses'!I51</f>
        <v>0</v>
      </c>
      <c r="AA41" s="79">
        <f>'List of Courses'!J51</f>
        <v>4</v>
      </c>
      <c r="AB41" s="79" t="str">
        <f>'List of Courses'!K51</f>
        <v>CVL312</v>
      </c>
      <c r="AC41" s="79">
        <f>'List of Courses'!L51</f>
        <v>0</v>
      </c>
      <c r="AD41" s="79">
        <f>'List of Courses'!M51</f>
        <v>0</v>
      </c>
      <c r="AE41" s="79">
        <f>'List of Courses'!N51</f>
        <v>0</v>
      </c>
      <c r="AF41" s="79">
        <f>'List of Courses'!O51</f>
        <v>1</v>
      </c>
      <c r="AG41" s="79">
        <f>'List of Courses'!P51</f>
        <v>0</v>
      </c>
      <c r="AH41" s="79">
        <f>'List of Courses'!Q51</f>
        <v>0</v>
      </c>
    </row>
    <row r="42" spans="1:34" x14ac:dyDescent="0.3">
      <c r="A42" s="292"/>
      <c r="B42" s="79" t="str">
        <f>'List of Courses'!B46</f>
        <v>CVL341</v>
      </c>
      <c r="C42" s="79" t="str">
        <f>'List of Courses'!C46</f>
        <v>Fluid Mechanics</v>
      </c>
      <c r="D42" s="79">
        <f>'List of Courses'!D46</f>
        <v>3</v>
      </c>
      <c r="E42" s="79">
        <f>'List of Courses'!E46</f>
        <v>5</v>
      </c>
      <c r="F42" s="79">
        <f>'List of Courses'!F46</f>
        <v>125</v>
      </c>
      <c r="G42" s="79">
        <f>'List of Courses'!G46</f>
        <v>2</v>
      </c>
      <c r="H42" s="79">
        <f>'List of Courses'!H46</f>
        <v>1</v>
      </c>
      <c r="I42" s="79">
        <f>'List of Courses'!I46</f>
        <v>1</v>
      </c>
      <c r="J42" s="79">
        <f>'List of Courses'!J46</f>
        <v>4</v>
      </c>
      <c r="K42" s="79" t="str">
        <f>'List of Courses'!K46</f>
        <v>MTH215</v>
      </c>
      <c r="L42" s="79">
        <f>'List of Courses'!L46</f>
        <v>0</v>
      </c>
      <c r="M42" s="79">
        <f>'List of Courses'!M46</f>
        <v>0</v>
      </c>
      <c r="N42" s="79">
        <f>'List of Courses'!N46</f>
        <v>0</v>
      </c>
      <c r="O42" s="79">
        <f>'List of Courses'!O46</f>
        <v>1</v>
      </c>
      <c r="P42" s="79">
        <f>'List of Courses'!P46</f>
        <v>0</v>
      </c>
      <c r="Q42" s="79">
        <f>'List of Courses'!Q46</f>
        <v>0</v>
      </c>
      <c r="R42" s="294"/>
      <c r="S42" s="80" t="str">
        <f>'List of Courses'!B57</f>
        <v>CVL432</v>
      </c>
      <c r="T42" s="80" t="str">
        <f>'List of Courses'!C57</f>
        <v xml:space="preserve">Contracts &amp; Commercial Management </v>
      </c>
      <c r="U42" s="80">
        <f>'List of Courses'!D57</f>
        <v>3</v>
      </c>
      <c r="V42" s="80">
        <f>'List of Courses'!E57</f>
        <v>5</v>
      </c>
      <c r="W42" s="80">
        <f>'List of Courses'!F57</f>
        <v>125</v>
      </c>
      <c r="X42" s="80">
        <f>'List of Courses'!G57</f>
        <v>2</v>
      </c>
      <c r="Y42" s="80">
        <f>'List of Courses'!H57</f>
        <v>2</v>
      </c>
      <c r="Z42" s="80">
        <f>'List of Courses'!I57</f>
        <v>0</v>
      </c>
      <c r="AA42" s="80">
        <f>'List of Courses'!J57</f>
        <v>4</v>
      </c>
      <c r="AB42" s="80" t="str">
        <f>'List of Courses'!K57</f>
        <v>--</v>
      </c>
      <c r="AC42" s="80">
        <f>'List of Courses'!L57</f>
        <v>0</v>
      </c>
      <c r="AD42" s="80">
        <f>'List of Courses'!M57</f>
        <v>0</v>
      </c>
      <c r="AE42" s="80">
        <f>'List of Courses'!N57</f>
        <v>0</v>
      </c>
      <c r="AF42" s="80">
        <f>'List of Courses'!O57</f>
        <v>0</v>
      </c>
      <c r="AG42" s="80">
        <f>'List of Courses'!P57</f>
        <v>1</v>
      </c>
      <c r="AH42" s="80">
        <f>'List of Courses'!Q57</f>
        <v>0</v>
      </c>
    </row>
    <row r="43" spans="1:34" x14ac:dyDescent="0.3">
      <c r="A43" s="292"/>
      <c r="B43" s="80" t="str">
        <f>'List of Courses'!B56</f>
        <v>CVL431</v>
      </c>
      <c r="C43" s="80" t="str">
        <f>'List of Courses'!C56</f>
        <v xml:space="preserve">Value &amp; Risk Management in Construction </v>
      </c>
      <c r="D43" s="80">
        <f>'List of Courses'!D56</f>
        <v>3</v>
      </c>
      <c r="E43" s="80">
        <f>'List of Courses'!E56</f>
        <v>5</v>
      </c>
      <c r="F43" s="80">
        <f>'List of Courses'!F56</f>
        <v>125</v>
      </c>
      <c r="G43" s="80">
        <f>'List of Courses'!G56</f>
        <v>2</v>
      </c>
      <c r="H43" s="80">
        <f>'List of Courses'!H56</f>
        <v>2</v>
      </c>
      <c r="I43" s="80">
        <f>'List of Courses'!I56</f>
        <v>0</v>
      </c>
      <c r="J43" s="80">
        <f>'List of Courses'!J56</f>
        <v>4</v>
      </c>
      <c r="K43" s="80" t="str">
        <f>'List of Courses'!K56</f>
        <v>CVL331</v>
      </c>
      <c r="L43" s="80">
        <f>'List of Courses'!L56</f>
        <v>0</v>
      </c>
      <c r="M43" s="80">
        <f>'List of Courses'!M56</f>
        <v>0</v>
      </c>
      <c r="N43" s="80">
        <f>'List of Courses'!N56</f>
        <v>0</v>
      </c>
      <c r="O43" s="80">
        <f>'List of Courses'!O56</f>
        <v>0</v>
      </c>
      <c r="P43" s="80">
        <f>'List of Courses'!P56</f>
        <v>1</v>
      </c>
      <c r="Q43" s="80">
        <f>'List of Courses'!Q56</f>
        <v>0</v>
      </c>
      <c r="R43" s="294"/>
      <c r="S43" s="79" t="str">
        <f>'List of Courses'!B63</f>
        <v>CVL441</v>
      </c>
      <c r="T43" s="79" t="str">
        <f>'List of Courses'!C63</f>
        <v>Fundamentals of Hydraulic Engineering</v>
      </c>
      <c r="U43" s="79">
        <f>'List of Courses'!D63</f>
        <v>3</v>
      </c>
      <c r="V43" s="79">
        <f>'List of Courses'!E63</f>
        <v>5</v>
      </c>
      <c r="W43" s="79">
        <f>'List of Courses'!F63</f>
        <v>125</v>
      </c>
      <c r="X43" s="79">
        <f>'List of Courses'!G63</f>
        <v>2</v>
      </c>
      <c r="Y43" s="79">
        <f>'List of Courses'!H63</f>
        <v>1</v>
      </c>
      <c r="Z43" s="79">
        <f>'List of Courses'!I63</f>
        <v>1</v>
      </c>
      <c r="AA43" s="79">
        <f>'List of Courses'!J63</f>
        <v>4</v>
      </c>
      <c r="AB43" s="79" t="str">
        <f>'List of Courses'!K63</f>
        <v>CVL341</v>
      </c>
      <c r="AC43" s="79">
        <f>'List of Courses'!L63</f>
        <v>0</v>
      </c>
      <c r="AD43" s="79">
        <f>'List of Courses'!M63</f>
        <v>0</v>
      </c>
      <c r="AE43" s="79">
        <f>'List of Courses'!N63</f>
        <v>0</v>
      </c>
      <c r="AF43" s="79">
        <f>'List of Courses'!O63</f>
        <v>1</v>
      </c>
      <c r="AG43" s="79">
        <f>'List of Courses'!P63</f>
        <v>0</v>
      </c>
      <c r="AH43" s="79">
        <f>'List of Courses'!Q63</f>
        <v>0</v>
      </c>
    </row>
    <row r="44" spans="1:34" x14ac:dyDescent="0.3">
      <c r="A44" s="292"/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94"/>
      <c r="S44" s="79" t="str">
        <f>'List of Courses'!B64</f>
        <v>CVL451</v>
      </c>
      <c r="T44" s="79" t="str">
        <f>'List of Courses'!C64</f>
        <v xml:space="preserve">Introduction to Transportation &amp; Highway Engineering </v>
      </c>
      <c r="U44" s="79">
        <f>'List of Courses'!D64</f>
        <v>3</v>
      </c>
      <c r="V44" s="79">
        <f>'List of Courses'!E64</f>
        <v>5</v>
      </c>
      <c r="W44" s="79">
        <f>'List of Courses'!F64</f>
        <v>125</v>
      </c>
      <c r="X44" s="79">
        <f>'List of Courses'!G64</f>
        <v>2</v>
      </c>
      <c r="Y44" s="79">
        <f>'List of Courses'!H64</f>
        <v>1</v>
      </c>
      <c r="Z44" s="79">
        <f>'List of Courses'!I64</f>
        <v>1</v>
      </c>
      <c r="AA44" s="79">
        <f>'List of Courses'!J64</f>
        <v>4</v>
      </c>
      <c r="AB44" s="79" t="str">
        <f>'List of Courses'!K64</f>
        <v>--</v>
      </c>
      <c r="AC44" s="79">
        <f>'List of Courses'!L64</f>
        <v>0</v>
      </c>
      <c r="AD44" s="79">
        <f>'List of Courses'!M64</f>
        <v>0</v>
      </c>
      <c r="AE44" s="79">
        <f>'List of Courses'!N64</f>
        <v>0</v>
      </c>
      <c r="AF44" s="79">
        <f>'List of Courses'!O64</f>
        <v>1</v>
      </c>
      <c r="AG44" s="79">
        <f>'List of Courses'!P64</f>
        <v>0</v>
      </c>
      <c r="AH44" s="79">
        <f>'List of Courses'!Q64</f>
        <v>0</v>
      </c>
    </row>
    <row r="45" spans="1:34" x14ac:dyDescent="0.3">
      <c r="A45" s="292"/>
      <c r="B45" s="26"/>
      <c r="C45" s="30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95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  <c r="AF45" s="26"/>
      <c r="AG45" s="26"/>
      <c r="AH45" s="26"/>
    </row>
    <row r="46" spans="1:34" x14ac:dyDescent="0.3">
      <c r="B46" s="22"/>
      <c r="C46" s="22"/>
      <c r="D46" s="93">
        <f>SUM(D38:D45)</f>
        <v>18</v>
      </c>
      <c r="E46" s="93">
        <f t="shared" ref="E46:I46" si="6">SUM(E38:E45)</f>
        <v>30</v>
      </c>
      <c r="F46" s="93">
        <f t="shared" si="6"/>
        <v>750</v>
      </c>
      <c r="G46" s="93">
        <f t="shared" si="6"/>
        <v>12</v>
      </c>
      <c r="H46" s="93">
        <f t="shared" si="6"/>
        <v>10</v>
      </c>
      <c r="I46" s="93">
        <f t="shared" si="6"/>
        <v>2</v>
      </c>
      <c r="J46" s="93">
        <f>SUM(J38:J45)</f>
        <v>24</v>
      </c>
      <c r="K46" s="22"/>
      <c r="L46" s="24"/>
      <c r="M46" s="24"/>
      <c r="N46" s="24"/>
      <c r="O46" s="24"/>
      <c r="P46" s="24"/>
      <c r="Q46" s="24"/>
      <c r="S46" s="22"/>
      <c r="T46" s="22"/>
      <c r="U46" s="93">
        <f t="shared" ref="U46:AA46" si="7">SUM(U38:U45)</f>
        <v>18</v>
      </c>
      <c r="V46" s="93">
        <f t="shared" si="7"/>
        <v>30</v>
      </c>
      <c r="W46" s="93">
        <f t="shared" si="7"/>
        <v>750</v>
      </c>
      <c r="X46" s="94">
        <f t="shared" si="7"/>
        <v>12</v>
      </c>
      <c r="Y46" s="94">
        <f t="shared" si="7"/>
        <v>9</v>
      </c>
      <c r="Z46" s="94">
        <f t="shared" si="7"/>
        <v>3</v>
      </c>
      <c r="AA46" s="93">
        <f t="shared" si="7"/>
        <v>24</v>
      </c>
      <c r="AB46" s="22"/>
      <c r="AC46" s="24"/>
      <c r="AD46" s="24"/>
      <c r="AE46" s="24"/>
      <c r="AF46" s="24"/>
      <c r="AG46" s="24"/>
      <c r="AH46" s="22"/>
    </row>
    <row r="47" spans="1:34" x14ac:dyDescent="0.3"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</row>
    <row r="48" spans="1:34" ht="14.4" customHeight="1" x14ac:dyDescent="0.3">
      <c r="A48" s="292" t="s">
        <v>61</v>
      </c>
      <c r="B48" s="305" t="s">
        <v>17</v>
      </c>
      <c r="C48" s="305" t="s">
        <v>18</v>
      </c>
      <c r="D48" s="305" t="s">
        <v>1</v>
      </c>
      <c r="E48" s="305"/>
      <c r="F48" s="305"/>
      <c r="G48" s="305" t="s">
        <v>2</v>
      </c>
      <c r="H48" s="305"/>
      <c r="I48" s="305"/>
      <c r="J48" s="305"/>
      <c r="K48" s="304" t="s">
        <v>19</v>
      </c>
      <c r="L48" s="304" t="s">
        <v>20</v>
      </c>
      <c r="M48" s="304" t="s">
        <v>21</v>
      </c>
      <c r="N48" s="306" t="s">
        <v>111</v>
      </c>
      <c r="O48" s="304" t="s">
        <v>22</v>
      </c>
      <c r="P48" s="304" t="s">
        <v>98</v>
      </c>
      <c r="Q48" s="304" t="s">
        <v>89</v>
      </c>
      <c r="R48" s="293" t="s">
        <v>62</v>
      </c>
      <c r="S48" s="305" t="s">
        <v>17</v>
      </c>
      <c r="T48" s="305" t="s">
        <v>18</v>
      </c>
      <c r="U48" s="305" t="s">
        <v>1</v>
      </c>
      <c r="V48" s="305"/>
      <c r="W48" s="305"/>
      <c r="X48" s="305" t="s">
        <v>2</v>
      </c>
      <c r="Y48" s="305"/>
      <c r="Z48" s="305"/>
      <c r="AA48" s="305"/>
      <c r="AB48" s="304" t="s">
        <v>19</v>
      </c>
      <c r="AC48" s="304" t="s">
        <v>20</v>
      </c>
      <c r="AD48" s="304" t="s">
        <v>21</v>
      </c>
      <c r="AE48" s="306" t="s">
        <v>111</v>
      </c>
      <c r="AF48" s="304" t="s">
        <v>22</v>
      </c>
      <c r="AG48" s="304" t="s">
        <v>98</v>
      </c>
      <c r="AH48" s="304" t="s">
        <v>89</v>
      </c>
    </row>
    <row r="49" spans="1:34" x14ac:dyDescent="0.3">
      <c r="A49" s="292"/>
      <c r="B49" s="305"/>
      <c r="C49" s="305"/>
      <c r="D49" s="144" t="s">
        <v>3</v>
      </c>
      <c r="E49" s="144" t="s">
        <v>4</v>
      </c>
      <c r="F49" s="144" t="s">
        <v>5</v>
      </c>
      <c r="G49" s="144" t="s">
        <v>6</v>
      </c>
      <c r="H49" s="144" t="s">
        <v>7</v>
      </c>
      <c r="I49" s="144" t="s">
        <v>8</v>
      </c>
      <c r="J49" s="144" t="s">
        <v>9</v>
      </c>
      <c r="K49" s="304"/>
      <c r="L49" s="304"/>
      <c r="M49" s="304"/>
      <c r="N49" s="306"/>
      <c r="O49" s="304"/>
      <c r="P49" s="304"/>
      <c r="Q49" s="304"/>
      <c r="R49" s="294"/>
      <c r="S49" s="305"/>
      <c r="T49" s="305"/>
      <c r="U49" s="144" t="s">
        <v>3</v>
      </c>
      <c r="V49" s="144" t="s">
        <v>4</v>
      </c>
      <c r="W49" s="144" t="s">
        <v>5</v>
      </c>
      <c r="X49" s="144" t="s">
        <v>6</v>
      </c>
      <c r="Y49" s="144" t="s">
        <v>7</v>
      </c>
      <c r="Z49" s="144" t="s">
        <v>8</v>
      </c>
      <c r="AA49" s="144" t="s">
        <v>9</v>
      </c>
      <c r="AB49" s="304"/>
      <c r="AC49" s="304"/>
      <c r="AD49" s="304"/>
      <c r="AE49" s="306"/>
      <c r="AF49" s="304"/>
      <c r="AG49" s="304"/>
      <c r="AH49" s="304"/>
    </row>
    <row r="50" spans="1:34" ht="14.4" customHeight="1" x14ac:dyDescent="0.3">
      <c r="A50" s="292"/>
      <c r="B50" s="79" t="str">
        <f>'List of Courses'!B15</f>
        <v>MTH216</v>
      </c>
      <c r="C50" s="79" t="str">
        <f>'List of Courses'!C15</f>
        <v>Numerical Methods</v>
      </c>
      <c r="D50" s="79">
        <f>'List of Courses'!D15</f>
        <v>3</v>
      </c>
      <c r="E50" s="79">
        <f>'List of Courses'!E15</f>
        <v>5</v>
      </c>
      <c r="F50" s="79">
        <f>'List of Courses'!F15</f>
        <v>125</v>
      </c>
      <c r="G50" s="79">
        <f>'List of Courses'!G15</f>
        <v>2</v>
      </c>
      <c r="H50" s="79">
        <f>'List of Courses'!H15</f>
        <v>2</v>
      </c>
      <c r="I50" s="79">
        <f>'List of Courses'!I15</f>
        <v>0</v>
      </c>
      <c r="J50" s="79">
        <f>'List of Courses'!J15</f>
        <v>4</v>
      </c>
      <c r="K50" s="79" t="str">
        <f>'List of Courses'!K15</f>
        <v>MTH214 &amp; MTH215</v>
      </c>
      <c r="L50" s="79">
        <f>'List of Courses'!L15</f>
        <v>0</v>
      </c>
      <c r="M50" s="79">
        <f>'List of Courses'!M15</f>
        <v>0</v>
      </c>
      <c r="N50" s="20">
        <f>'List of Courses'!N15</f>
        <v>1</v>
      </c>
      <c r="O50" s="79">
        <f>'List of Courses'!O15</f>
        <v>1</v>
      </c>
      <c r="P50" s="79">
        <f>'List of Courses'!P15</f>
        <v>0</v>
      </c>
      <c r="Q50" s="79">
        <f>'List of Courses'!Q15</f>
        <v>0</v>
      </c>
      <c r="R50" s="294"/>
      <c r="S50" s="83" t="str">
        <f>'List of Courses'!B73</f>
        <v>CVL E2</v>
      </c>
      <c r="T50" s="83" t="str">
        <f>'List of Courses'!C73</f>
        <v>Major Elective (2)</v>
      </c>
      <c r="U50" s="83">
        <f>'List of Courses'!D73</f>
        <v>3</v>
      </c>
      <c r="V50" s="83">
        <f>'List of Courses'!E73</f>
        <v>5</v>
      </c>
      <c r="W50" s="83">
        <f>'List of Courses'!F73</f>
        <v>125</v>
      </c>
      <c r="X50" s="83">
        <f>'List of Courses'!G73</f>
        <v>2</v>
      </c>
      <c r="Y50" s="83">
        <f>'List of Courses'!H73</f>
        <v>1</v>
      </c>
      <c r="Z50" s="83">
        <f>'List of Courses'!I73</f>
        <v>1</v>
      </c>
      <c r="AA50" s="83">
        <f>'List of Courses'!J73</f>
        <v>4</v>
      </c>
      <c r="AB50" s="83" t="str">
        <f>'List of Courses'!K73</f>
        <v>List</v>
      </c>
      <c r="AC50" s="83">
        <f>'List of Courses'!L73</f>
        <v>0</v>
      </c>
      <c r="AD50" s="83">
        <f>'List of Courses'!M73</f>
        <v>0</v>
      </c>
      <c r="AE50" s="83">
        <f>'List of Courses'!N73</f>
        <v>0</v>
      </c>
      <c r="AF50" s="83">
        <f>'List of Courses'!O73</f>
        <v>0</v>
      </c>
      <c r="AG50" s="83">
        <f>'List of Courses'!P73</f>
        <v>1</v>
      </c>
      <c r="AH50" s="83">
        <f>'List of Courses'!Q73</f>
        <v>1</v>
      </c>
    </row>
    <row r="51" spans="1:34" x14ac:dyDescent="0.3">
      <c r="A51" s="292"/>
      <c r="B51" s="80" t="str">
        <f>'List of Courses'!B58</f>
        <v>CVL433</v>
      </c>
      <c r="C51" s="80" t="str">
        <f>'List of Courses'!C58</f>
        <v>Infrastructure Asset Management</v>
      </c>
      <c r="D51" s="80">
        <f>'List of Courses'!D58</f>
        <v>3</v>
      </c>
      <c r="E51" s="80">
        <f>'List of Courses'!E58</f>
        <v>5</v>
      </c>
      <c r="F51" s="80">
        <f>'List of Courses'!F58</f>
        <v>125</v>
      </c>
      <c r="G51" s="80">
        <f>'List of Courses'!G58</f>
        <v>2</v>
      </c>
      <c r="H51" s="80">
        <f>'List of Courses'!H58</f>
        <v>2</v>
      </c>
      <c r="I51" s="80">
        <f>'List of Courses'!I58</f>
        <v>0</v>
      </c>
      <c r="J51" s="80">
        <f>'List of Courses'!J58</f>
        <v>4</v>
      </c>
      <c r="K51" s="80" t="str">
        <f>'List of Courses'!K58</f>
        <v>CVL431</v>
      </c>
      <c r="L51" s="80">
        <f>'List of Courses'!L58</f>
        <v>0</v>
      </c>
      <c r="M51" s="80">
        <f>'List of Courses'!M58</f>
        <v>0</v>
      </c>
      <c r="N51" s="80">
        <f>'List of Courses'!N58</f>
        <v>0</v>
      </c>
      <c r="O51" s="80">
        <f>'List of Courses'!O58</f>
        <v>0</v>
      </c>
      <c r="P51" s="80">
        <f>'List of Courses'!P58</f>
        <v>1</v>
      </c>
      <c r="Q51" s="80">
        <f>'List of Courses'!Q58</f>
        <v>0</v>
      </c>
      <c r="R51" s="294"/>
      <c r="S51" s="80" t="str">
        <f>'List of Courses'!B74</f>
        <v>CVL E3</v>
      </c>
      <c r="T51" s="80" t="str">
        <f>'List of Courses'!C74</f>
        <v>Major Elective (3)</v>
      </c>
      <c r="U51" s="80">
        <f>'List of Courses'!D74</f>
        <v>3</v>
      </c>
      <c r="V51" s="80">
        <f>'List of Courses'!E74</f>
        <v>5</v>
      </c>
      <c r="W51" s="80">
        <f>'List of Courses'!F74</f>
        <v>125</v>
      </c>
      <c r="X51" s="80">
        <f>'List of Courses'!G74</f>
        <v>2</v>
      </c>
      <c r="Y51" s="80">
        <f>'List of Courses'!H74</f>
        <v>1</v>
      </c>
      <c r="Z51" s="80">
        <f>'List of Courses'!I74</f>
        <v>1</v>
      </c>
      <c r="AA51" s="80">
        <f>'List of Courses'!J74</f>
        <v>4</v>
      </c>
      <c r="AB51" s="80" t="str">
        <f>'List of Courses'!K74</f>
        <v>List</v>
      </c>
      <c r="AC51" s="80">
        <f>'List of Courses'!L74</f>
        <v>0</v>
      </c>
      <c r="AD51" s="80">
        <f>'List of Courses'!M74</f>
        <v>0</v>
      </c>
      <c r="AE51" s="80">
        <f>'List of Courses'!N74</f>
        <v>0</v>
      </c>
      <c r="AF51" s="80">
        <f>'List of Courses'!O74</f>
        <v>0</v>
      </c>
      <c r="AG51" s="80">
        <f>'List of Courses'!P74</f>
        <v>1</v>
      </c>
      <c r="AH51" s="81">
        <f>'List of Courses'!Q74</f>
        <v>1</v>
      </c>
    </row>
    <row r="52" spans="1:34" x14ac:dyDescent="0.3">
      <c r="A52" s="292"/>
      <c r="B52" s="80" t="str">
        <f>'List of Courses'!B59</f>
        <v>CVL434</v>
      </c>
      <c r="C52" s="80" t="str">
        <f>'List of Courses'!C59</f>
        <v xml:space="preserve">Strategic Management in Construction </v>
      </c>
      <c r="D52" s="80">
        <f>'List of Courses'!D59</f>
        <v>3</v>
      </c>
      <c r="E52" s="80">
        <f>'List of Courses'!E59</f>
        <v>5</v>
      </c>
      <c r="F52" s="80">
        <f>'List of Courses'!F59</f>
        <v>125</v>
      </c>
      <c r="G52" s="80">
        <f>'List of Courses'!G59</f>
        <v>2</v>
      </c>
      <c r="H52" s="80">
        <f>'List of Courses'!H59</f>
        <v>2</v>
      </c>
      <c r="I52" s="80">
        <f>'List of Courses'!I59</f>
        <v>0</v>
      </c>
      <c r="J52" s="80">
        <f>'List of Courses'!J59</f>
        <v>4</v>
      </c>
      <c r="K52" s="80" t="str">
        <f>'List of Courses'!K59</f>
        <v>CVL432</v>
      </c>
      <c r="L52" s="80">
        <f>'List of Courses'!L59</f>
        <v>0</v>
      </c>
      <c r="M52" s="80">
        <f>'List of Courses'!M59</f>
        <v>0</v>
      </c>
      <c r="N52" s="80">
        <f>'List of Courses'!N59</f>
        <v>0</v>
      </c>
      <c r="O52" s="80">
        <f>'List of Courses'!O59</f>
        <v>0</v>
      </c>
      <c r="P52" s="80">
        <f>'List of Courses'!P59</f>
        <v>1</v>
      </c>
      <c r="Q52" s="80">
        <f>'List of Courses'!Q59</f>
        <v>0</v>
      </c>
      <c r="R52" s="294"/>
      <c r="S52" s="80" t="str">
        <f>'List of Courses'!B75</f>
        <v>CVL E4</v>
      </c>
      <c r="T52" s="80" t="str">
        <f>'List of Courses'!C75</f>
        <v>Major Elective (4)</v>
      </c>
      <c r="U52" s="80">
        <f>'List of Courses'!D75</f>
        <v>3</v>
      </c>
      <c r="V52" s="80">
        <f>'List of Courses'!E75</f>
        <v>5</v>
      </c>
      <c r="W52" s="80">
        <f>'List of Courses'!F75</f>
        <v>125</v>
      </c>
      <c r="X52" s="80">
        <f>'List of Courses'!G75</f>
        <v>2</v>
      </c>
      <c r="Y52" s="80">
        <f>'List of Courses'!H75</f>
        <v>1</v>
      </c>
      <c r="Z52" s="80">
        <f>'List of Courses'!I75</f>
        <v>1</v>
      </c>
      <c r="AA52" s="80">
        <f>'List of Courses'!J75</f>
        <v>4</v>
      </c>
      <c r="AB52" s="80" t="str">
        <f>'List of Courses'!K75</f>
        <v>List</v>
      </c>
      <c r="AC52" s="80">
        <f>'List of Courses'!L75</f>
        <v>0</v>
      </c>
      <c r="AD52" s="80">
        <f>'List of Courses'!M75</f>
        <v>0</v>
      </c>
      <c r="AE52" s="80">
        <f>'List of Courses'!N75</f>
        <v>0</v>
      </c>
      <c r="AF52" s="80">
        <f>'List of Courses'!O75</f>
        <v>0</v>
      </c>
      <c r="AG52" s="80">
        <f>'List of Courses'!P75</f>
        <v>1</v>
      </c>
      <c r="AH52" s="81">
        <f>'List of Courses'!Q75</f>
        <v>1</v>
      </c>
    </row>
    <row r="53" spans="1:34" x14ac:dyDescent="0.3">
      <c r="A53" s="292"/>
      <c r="B53" s="80" t="str">
        <f>'List of Courses'!B71</f>
        <v>MTH E</v>
      </c>
      <c r="C53" s="80" t="str">
        <f>'List of Courses'!C71</f>
        <v>Major Math Elective</v>
      </c>
      <c r="D53" s="80">
        <f>'List of Courses'!D71</f>
        <v>3</v>
      </c>
      <c r="E53" s="80">
        <f>'List of Courses'!E71</f>
        <v>5</v>
      </c>
      <c r="F53" s="80">
        <f>'List of Courses'!F71</f>
        <v>125</v>
      </c>
      <c r="G53" s="80">
        <f>'List of Courses'!G71</f>
        <v>2</v>
      </c>
      <c r="H53" s="80">
        <f>'List of Courses'!H71</f>
        <v>2</v>
      </c>
      <c r="I53" s="80">
        <f>'List of Courses'!I71</f>
        <v>0</v>
      </c>
      <c r="J53" s="80">
        <f>'List of Courses'!J71</f>
        <v>4</v>
      </c>
      <c r="K53" s="80" t="str">
        <f>'List of Courses'!K71</f>
        <v>List</v>
      </c>
      <c r="L53" s="80">
        <f>'List of Courses'!L71</f>
        <v>0</v>
      </c>
      <c r="M53" s="80">
        <f>'List of Courses'!M71</f>
        <v>0</v>
      </c>
      <c r="N53" s="80">
        <f>'List of Courses'!N71</f>
        <v>0</v>
      </c>
      <c r="O53" s="80">
        <f>'List of Courses'!O71</f>
        <v>0</v>
      </c>
      <c r="P53" s="80">
        <f>'List of Courses'!P71</f>
        <v>1</v>
      </c>
      <c r="Q53" s="80">
        <f>'List of Courses'!Q71</f>
        <v>1</v>
      </c>
      <c r="R53" s="294"/>
      <c r="S53" s="78" t="str">
        <f>'List of Courses'!B27</f>
        <v>INT E2</v>
      </c>
      <c r="T53" s="78" t="str">
        <f>'List of Courses'!C27</f>
        <v>Sustainable Development Electives</v>
      </c>
      <c r="U53" s="78">
        <f>'List of Courses'!D27</f>
        <v>3</v>
      </c>
      <c r="V53" s="78">
        <f>'List of Courses'!E27</f>
        <v>5</v>
      </c>
      <c r="W53" s="78">
        <f>'List of Courses'!F27</f>
        <v>125</v>
      </c>
      <c r="X53" s="78">
        <f>'List of Courses'!G27</f>
        <v>2</v>
      </c>
      <c r="Y53" s="78">
        <f>'List of Courses'!H27</f>
        <v>2</v>
      </c>
      <c r="Z53" s="78">
        <f>'List of Courses'!I27</f>
        <v>0</v>
      </c>
      <c r="AA53" s="78">
        <f>'List of Courses'!J27</f>
        <v>4</v>
      </c>
      <c r="AB53" s="78" t="str">
        <f>'List of Courses'!K27</f>
        <v>--</v>
      </c>
      <c r="AC53" s="78">
        <f>'List of Courses'!L27</f>
        <v>0</v>
      </c>
      <c r="AD53" s="78">
        <f>'List of Courses'!M27</f>
        <v>1</v>
      </c>
      <c r="AE53" s="78">
        <f>'List of Courses'!N27</f>
        <v>0</v>
      </c>
      <c r="AF53" s="78">
        <f>'List of Courses'!O27</f>
        <v>0</v>
      </c>
      <c r="AG53" s="78">
        <f>'List of Courses'!P27</f>
        <v>0</v>
      </c>
      <c r="AH53" s="81">
        <f>'List of Courses'!Q71</f>
        <v>1</v>
      </c>
    </row>
    <row r="54" spans="1:34" x14ac:dyDescent="0.3">
      <c r="A54" s="292"/>
      <c r="B54" s="83" t="str">
        <f>'List of Courses'!B72</f>
        <v>CVL E1</v>
      </c>
      <c r="C54" s="83" t="str">
        <f>'List of Courses'!C72</f>
        <v>Major Elective (1)</v>
      </c>
      <c r="D54" s="83">
        <f>'List of Courses'!D72</f>
        <v>3</v>
      </c>
      <c r="E54" s="83">
        <f>'List of Courses'!E72</f>
        <v>5</v>
      </c>
      <c r="F54" s="83">
        <f>'List of Courses'!F72</f>
        <v>125</v>
      </c>
      <c r="G54" s="83">
        <f>'List of Courses'!G72</f>
        <v>2</v>
      </c>
      <c r="H54" s="83">
        <f>'List of Courses'!H72</f>
        <v>1</v>
      </c>
      <c r="I54" s="83">
        <f>'List of Courses'!I72</f>
        <v>1</v>
      </c>
      <c r="J54" s="83">
        <f>'List of Courses'!J72</f>
        <v>4</v>
      </c>
      <c r="K54" s="83" t="str">
        <f>'List of Courses'!K72</f>
        <v>List</v>
      </c>
      <c r="L54" s="83">
        <f>'List of Courses'!L72</f>
        <v>0</v>
      </c>
      <c r="M54" s="83">
        <f>'List of Courses'!M72</f>
        <v>0</v>
      </c>
      <c r="N54" s="83">
        <f>'List of Courses'!N72</f>
        <v>0</v>
      </c>
      <c r="O54" s="83">
        <f>'List of Courses'!O72</f>
        <v>0</v>
      </c>
      <c r="P54" s="83">
        <f>'List of Courses'!P72</f>
        <v>1</v>
      </c>
      <c r="Q54" s="83">
        <f>'List of Courses'!Q72</f>
        <v>1</v>
      </c>
      <c r="R54" s="294"/>
      <c r="S54" s="78" t="str">
        <f>'List of Courses'!B28</f>
        <v>EBS111</v>
      </c>
      <c r="T54" s="78" t="str">
        <f>'List of Courses'!C28</f>
        <v xml:space="preserve">Selected Topics in Entrepreneurship </v>
      </c>
      <c r="U54" s="78">
        <f>'List of Courses'!D28</f>
        <v>3</v>
      </c>
      <c r="V54" s="78">
        <f>'List of Courses'!E28</f>
        <v>5</v>
      </c>
      <c r="W54" s="78">
        <f>'List of Courses'!F28</f>
        <v>125</v>
      </c>
      <c r="X54" s="78">
        <f>'List of Courses'!G28</f>
        <v>2</v>
      </c>
      <c r="Y54" s="78">
        <f>'List of Courses'!H28</f>
        <v>2</v>
      </c>
      <c r="Z54" s="78">
        <f>'List of Courses'!I28</f>
        <v>0</v>
      </c>
      <c r="AA54" s="78">
        <f>'List of Courses'!J28</f>
        <v>4</v>
      </c>
      <c r="AB54" s="78" t="str">
        <f>'List of Courses'!K28</f>
        <v>--</v>
      </c>
      <c r="AC54" s="78">
        <f>'List of Courses'!L28</f>
        <v>0</v>
      </c>
      <c r="AD54" s="78">
        <f>'List of Courses'!M28</f>
        <v>1</v>
      </c>
      <c r="AE54" s="78">
        <f>'List of Courses'!N28</f>
        <v>0</v>
      </c>
      <c r="AF54" s="78">
        <f>'List of Courses'!O28</f>
        <v>0</v>
      </c>
      <c r="AG54" s="78">
        <f>'List of Courses'!P28</f>
        <v>0</v>
      </c>
      <c r="AH54" s="26">
        <f>'List of Courses'!Q28</f>
        <v>0</v>
      </c>
    </row>
    <row r="55" spans="1:34" x14ac:dyDescent="0.3">
      <c r="A55" s="292"/>
      <c r="B55" s="79" t="str">
        <f>'List of Courses'!B68</f>
        <v>CVL493</v>
      </c>
      <c r="C55" s="79" t="str">
        <f>'List of Courses'!C68</f>
        <v>Graduation Project I</v>
      </c>
      <c r="D55" s="79">
        <f>'List of Courses'!D68</f>
        <v>3</v>
      </c>
      <c r="E55" s="79">
        <f>'List of Courses'!E68</f>
        <v>5</v>
      </c>
      <c r="F55" s="79">
        <f>'List of Courses'!F68</f>
        <v>125</v>
      </c>
      <c r="G55" s="79">
        <f>'List of Courses'!G68</f>
        <v>1</v>
      </c>
      <c r="H55" s="79">
        <f>'List of Courses'!H68</f>
        <v>0</v>
      </c>
      <c r="I55" s="79">
        <f>'List of Courses'!I68</f>
        <v>4</v>
      </c>
      <c r="J55" s="79">
        <f>'List of Courses'!J68</f>
        <v>5</v>
      </c>
      <c r="K55" s="79" t="str">
        <f>'List of Courses'!K68</f>
        <v>--</v>
      </c>
      <c r="L55" s="79">
        <f>'List of Courses'!L68</f>
        <v>0</v>
      </c>
      <c r="M55" s="79">
        <f>'List of Courses'!M68</f>
        <v>0</v>
      </c>
      <c r="N55" s="79">
        <f>'List of Courses'!N68</f>
        <v>0</v>
      </c>
      <c r="O55" s="79">
        <f>'List of Courses'!O68</f>
        <v>1</v>
      </c>
      <c r="P55" s="79">
        <f>'List of Courses'!P68</f>
        <v>0</v>
      </c>
      <c r="Q55" s="79">
        <f>'List of Courses'!Q68</f>
        <v>0</v>
      </c>
      <c r="R55" s="294"/>
      <c r="S55" s="79" t="str">
        <f>'List of Courses'!B69</f>
        <v>CVL494</v>
      </c>
      <c r="T55" s="79" t="str">
        <f>'List of Courses'!C69</f>
        <v>Graduation Project II</v>
      </c>
      <c r="U55" s="79">
        <f>'List of Courses'!D69</f>
        <v>3</v>
      </c>
      <c r="V55" s="79">
        <f>'List of Courses'!E69</f>
        <v>5</v>
      </c>
      <c r="W55" s="79">
        <f>'List of Courses'!F69</f>
        <v>125</v>
      </c>
      <c r="X55" s="79">
        <f>'List of Courses'!G69</f>
        <v>1</v>
      </c>
      <c r="Y55" s="79">
        <f>'List of Courses'!H69</f>
        <v>0</v>
      </c>
      <c r="Z55" s="79">
        <f>'List of Courses'!I69</f>
        <v>4</v>
      </c>
      <c r="AA55" s="79">
        <f>'List of Courses'!J69</f>
        <v>5</v>
      </c>
      <c r="AB55" s="79" t="str">
        <f>'List of Courses'!K69</f>
        <v>CVL493 (CO)</v>
      </c>
      <c r="AC55" s="79">
        <f>'List of Courses'!L69</f>
        <v>0</v>
      </c>
      <c r="AD55" s="79">
        <f>'List of Courses'!M69</f>
        <v>0</v>
      </c>
      <c r="AE55" s="79">
        <f>'List of Courses'!N69</f>
        <v>0</v>
      </c>
      <c r="AF55" s="79">
        <f>'List of Courses'!O69</f>
        <v>1</v>
      </c>
      <c r="AG55" s="79">
        <f>'List of Courses'!P69</f>
        <v>0</v>
      </c>
      <c r="AH55" s="79">
        <f>'List of Courses'!Q69</f>
        <v>0</v>
      </c>
    </row>
    <row r="56" spans="1:34" x14ac:dyDescent="0.3">
      <c r="A56" s="292"/>
      <c r="B56" s="26"/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95"/>
      <c r="S56" s="26"/>
      <c r="T56" s="26"/>
      <c r="U56" s="25"/>
      <c r="V56" s="25"/>
      <c r="W56" s="25"/>
      <c r="X56" s="25"/>
      <c r="Y56" s="25"/>
      <c r="Z56" s="25"/>
      <c r="AA56" s="25"/>
      <c r="AB56" s="26"/>
      <c r="AC56" s="25"/>
      <c r="AD56" s="25"/>
      <c r="AE56" s="25"/>
      <c r="AF56" s="25"/>
      <c r="AG56" s="25"/>
      <c r="AH56" s="25"/>
    </row>
    <row r="57" spans="1:34" x14ac:dyDescent="0.3">
      <c r="B57" s="22"/>
      <c r="C57" s="22"/>
      <c r="D57" s="93">
        <f>SUM(D50:D56)</f>
        <v>18</v>
      </c>
      <c r="E57" s="93">
        <f t="shared" ref="E57:J57" si="8">SUM(E50:E56)</f>
        <v>30</v>
      </c>
      <c r="F57" s="93">
        <f>SUM(F50:F56)</f>
        <v>750</v>
      </c>
      <c r="G57" s="93">
        <f t="shared" si="8"/>
        <v>11</v>
      </c>
      <c r="H57" s="93">
        <f t="shared" si="8"/>
        <v>9</v>
      </c>
      <c r="I57" s="93">
        <f t="shared" si="8"/>
        <v>5</v>
      </c>
      <c r="J57" s="93">
        <f t="shared" si="8"/>
        <v>25</v>
      </c>
      <c r="K57" s="22"/>
      <c r="L57" s="24"/>
      <c r="M57" s="24"/>
      <c r="N57" s="24"/>
      <c r="O57" s="24"/>
      <c r="P57" s="24"/>
      <c r="Q57" s="24"/>
      <c r="S57" s="22"/>
      <c r="T57" s="22"/>
      <c r="U57" s="93">
        <f>SUM(U50:U56)</f>
        <v>18</v>
      </c>
      <c r="V57" s="93">
        <f t="shared" ref="V57:AA57" si="9">SUM(V50:V56)</f>
        <v>30</v>
      </c>
      <c r="W57" s="93">
        <f t="shared" si="9"/>
        <v>750</v>
      </c>
      <c r="X57" s="93">
        <f t="shared" si="9"/>
        <v>11</v>
      </c>
      <c r="Y57" s="93">
        <f t="shared" si="9"/>
        <v>7</v>
      </c>
      <c r="Z57" s="93">
        <f t="shared" si="9"/>
        <v>7</v>
      </c>
      <c r="AA57" s="93">
        <f t="shared" si="9"/>
        <v>25</v>
      </c>
      <c r="AB57" s="22"/>
      <c r="AC57" s="22"/>
      <c r="AD57" s="22"/>
      <c r="AE57" s="22"/>
      <c r="AF57" s="22"/>
      <c r="AG57" s="22"/>
      <c r="AH57" s="22"/>
    </row>
    <row r="58" spans="1:34" x14ac:dyDescent="0.3">
      <c r="D58" s="18"/>
      <c r="L58" s="1"/>
      <c r="M58" s="1"/>
      <c r="N58" s="1"/>
      <c r="O58" s="1"/>
      <c r="P58" s="1"/>
      <c r="Q58" s="1"/>
    </row>
    <row r="59" spans="1:34" ht="14.4" customHeight="1" x14ac:dyDescent="0.3">
      <c r="R59" s="291" t="s">
        <v>400</v>
      </c>
      <c r="S59" s="290" t="s">
        <v>17</v>
      </c>
      <c r="T59" s="290" t="s">
        <v>18</v>
      </c>
      <c r="U59" s="290" t="s">
        <v>1</v>
      </c>
      <c r="V59" s="290"/>
      <c r="W59" s="290"/>
      <c r="X59" s="290" t="s">
        <v>2</v>
      </c>
      <c r="Y59" s="290"/>
      <c r="Z59" s="290"/>
      <c r="AA59" s="290"/>
      <c r="AB59" s="288" t="s">
        <v>19</v>
      </c>
      <c r="AC59" s="288" t="s">
        <v>20</v>
      </c>
      <c r="AD59" s="288" t="s">
        <v>21</v>
      </c>
      <c r="AE59" s="289" t="s">
        <v>111</v>
      </c>
      <c r="AF59" s="288" t="s">
        <v>22</v>
      </c>
      <c r="AG59" s="288" t="s">
        <v>98</v>
      </c>
      <c r="AH59" s="28"/>
    </row>
    <row r="60" spans="1:34" x14ac:dyDescent="0.3">
      <c r="R60" s="291"/>
      <c r="S60" s="290"/>
      <c r="T60" s="290"/>
      <c r="U60" s="16" t="s">
        <v>3</v>
      </c>
      <c r="V60" s="16" t="s">
        <v>4</v>
      </c>
      <c r="W60" s="16" t="s">
        <v>5</v>
      </c>
      <c r="X60" s="16" t="s">
        <v>6</v>
      </c>
      <c r="Y60" s="16" t="s">
        <v>7</v>
      </c>
      <c r="Z60" s="16" t="s">
        <v>8</v>
      </c>
      <c r="AA60" s="16" t="s">
        <v>9</v>
      </c>
      <c r="AB60" s="288"/>
      <c r="AC60" s="288"/>
      <c r="AD60" s="288"/>
      <c r="AE60" s="289"/>
      <c r="AF60" s="288"/>
      <c r="AG60" s="288"/>
      <c r="AH60" s="28"/>
    </row>
    <row r="61" spans="1:34" x14ac:dyDescent="0.3">
      <c r="R61" s="291"/>
      <c r="S61" s="57" t="str">
        <f>'List of Courses'!B48</f>
        <v>CVL381</v>
      </c>
      <c r="T61" s="57" t="str">
        <f>'List of Courses'!C48</f>
        <v>Computer Applications in Civil Engineering</v>
      </c>
      <c r="U61" s="57">
        <f>'List of Courses'!D48</f>
        <v>3</v>
      </c>
      <c r="V61" s="57">
        <f>'List of Courses'!E48</f>
        <v>5</v>
      </c>
      <c r="W61" s="57">
        <f>'List of Courses'!F48</f>
        <v>125</v>
      </c>
      <c r="X61" s="57">
        <f>'List of Courses'!G48</f>
        <v>2</v>
      </c>
      <c r="Y61" s="57">
        <f>'List of Courses'!H48</f>
        <v>0</v>
      </c>
      <c r="Z61" s="57">
        <f>'List of Courses'!I48</f>
        <v>2</v>
      </c>
      <c r="AA61" s="57">
        <f>'List of Courses'!J48</f>
        <v>4</v>
      </c>
      <c r="AB61" s="57" t="str">
        <f>'List of Courses'!K48</f>
        <v>--</v>
      </c>
      <c r="AC61" s="57">
        <f>'List of Courses'!L48</f>
        <v>0</v>
      </c>
      <c r="AD61" s="57">
        <f>'List of Courses'!M48</f>
        <v>0</v>
      </c>
      <c r="AE61" s="57">
        <f>'List of Courses'!N48</f>
        <v>0</v>
      </c>
      <c r="AF61" s="57">
        <f>'List of Courses'!O48</f>
        <v>0</v>
      </c>
      <c r="AG61" s="57">
        <f>'List of Courses'!P48</f>
        <v>1</v>
      </c>
      <c r="AH61" s="1"/>
    </row>
    <row r="62" spans="1:34" x14ac:dyDescent="0.3">
      <c r="R62" s="291"/>
      <c r="S62" s="57" t="str">
        <f>'List of Courses'!B67</f>
        <v>CVL481</v>
      </c>
      <c r="T62" s="57" t="str">
        <f>'List of Courses'!C67</f>
        <v>Advanced Surveying and GIS</v>
      </c>
      <c r="U62" s="57">
        <f>'List of Courses'!D67</f>
        <v>3</v>
      </c>
      <c r="V62" s="57">
        <f>'List of Courses'!E67</f>
        <v>5</v>
      </c>
      <c r="W62" s="57">
        <f>'List of Courses'!F67</f>
        <v>125</v>
      </c>
      <c r="X62" s="57">
        <f>'List of Courses'!G67</f>
        <v>1</v>
      </c>
      <c r="Y62" s="57">
        <f>'List of Courses'!H67</f>
        <v>2</v>
      </c>
      <c r="Z62" s="57">
        <f>'List of Courses'!I67</f>
        <v>2</v>
      </c>
      <c r="AA62" s="57">
        <f>'List of Courses'!J67</f>
        <v>5</v>
      </c>
      <c r="AB62" s="57" t="str">
        <f>'List of Courses'!K67</f>
        <v>CVL281</v>
      </c>
      <c r="AC62" s="57">
        <f>'List of Courses'!L67</f>
        <v>0</v>
      </c>
      <c r="AD62" s="57">
        <f>'List of Courses'!M67</f>
        <v>0</v>
      </c>
      <c r="AE62" s="57">
        <f>'List of Courses'!N67</f>
        <v>0</v>
      </c>
      <c r="AF62" s="57">
        <f>'List of Courses'!O67</f>
        <v>0</v>
      </c>
      <c r="AG62" s="57">
        <f>'List of Courses'!P67</f>
        <v>1</v>
      </c>
      <c r="AH62" s="1"/>
    </row>
    <row r="63" spans="1:34" x14ac:dyDescent="0.3">
      <c r="L63" s="1"/>
      <c r="M63" s="1"/>
      <c r="N63" s="1"/>
      <c r="O63" s="1"/>
      <c r="P63" s="1"/>
      <c r="Q63" s="1"/>
      <c r="R63" s="291"/>
      <c r="S63" s="57" t="str">
        <f>'List of Courses'!B53</f>
        <v>CVL413</v>
      </c>
      <c r="T63" s="57" t="str">
        <f>'List of Courses'!C53</f>
        <v>Repair and Strengthening of Buildings</v>
      </c>
      <c r="U63" s="57">
        <f>'List of Courses'!D53</f>
        <v>3</v>
      </c>
      <c r="V63" s="57">
        <f>'List of Courses'!E53</f>
        <v>5</v>
      </c>
      <c r="W63" s="57">
        <f>'List of Courses'!F53</f>
        <v>125</v>
      </c>
      <c r="X63" s="57">
        <f>'List of Courses'!G53</f>
        <v>2</v>
      </c>
      <c r="Y63" s="57">
        <f>'List of Courses'!H53</f>
        <v>2</v>
      </c>
      <c r="Z63" s="57">
        <f>'List of Courses'!I53</f>
        <v>0</v>
      </c>
      <c r="AA63" s="57">
        <f>'List of Courses'!J53</f>
        <v>4</v>
      </c>
      <c r="AB63" s="57" t="str">
        <f>'List of Courses'!K53</f>
        <v>CVL411</v>
      </c>
      <c r="AC63" s="57">
        <f>'List of Courses'!L53</f>
        <v>0</v>
      </c>
      <c r="AD63" s="57">
        <f>'List of Courses'!M53</f>
        <v>0</v>
      </c>
      <c r="AE63" s="57">
        <f>'List of Courses'!N53</f>
        <v>0</v>
      </c>
      <c r="AF63" s="57">
        <f>'List of Courses'!O53</f>
        <v>0</v>
      </c>
      <c r="AG63" s="57">
        <f>'List of Courses'!P53</f>
        <v>1</v>
      </c>
      <c r="AH63" s="1"/>
    </row>
    <row r="64" spans="1:34" x14ac:dyDescent="0.3">
      <c r="L64" s="1"/>
      <c r="M64" s="1"/>
      <c r="N64" s="1"/>
      <c r="O64" s="1"/>
      <c r="P64" s="1"/>
      <c r="Q64" s="1"/>
      <c r="R64" s="291"/>
      <c r="S64" s="57" t="str">
        <f>'List of Courses'!B55</f>
        <v>CVL422</v>
      </c>
      <c r="T64" s="57" t="str">
        <f>'List of Courses'!C55</f>
        <v>Quality Control of Smart Materials</v>
      </c>
      <c r="U64" s="57">
        <f>'List of Courses'!D55</f>
        <v>3</v>
      </c>
      <c r="V64" s="57">
        <f>'List of Courses'!E55</f>
        <v>5</v>
      </c>
      <c r="W64" s="57">
        <f>'List of Courses'!F55</f>
        <v>125</v>
      </c>
      <c r="X64" s="57">
        <f>'List of Courses'!G55</f>
        <v>2</v>
      </c>
      <c r="Y64" s="57">
        <f>'List of Courses'!H55</f>
        <v>2</v>
      </c>
      <c r="Z64" s="57">
        <f>'List of Courses'!I55</f>
        <v>0</v>
      </c>
      <c r="AA64" s="57">
        <f>'List of Courses'!J55</f>
        <v>4</v>
      </c>
      <c r="AB64" s="57" t="str">
        <f>'List of Courses'!K55</f>
        <v>--</v>
      </c>
      <c r="AC64" s="57">
        <f>'List of Courses'!L55</f>
        <v>0</v>
      </c>
      <c r="AD64" s="57">
        <f>'List of Courses'!M55</f>
        <v>0</v>
      </c>
      <c r="AE64" s="57">
        <f>'List of Courses'!N55</f>
        <v>0</v>
      </c>
      <c r="AF64" s="57">
        <f>'List of Courses'!O55</f>
        <v>0</v>
      </c>
      <c r="AG64" s="57">
        <f>'List of Courses'!P55</f>
        <v>1</v>
      </c>
      <c r="AH64" s="1"/>
    </row>
    <row r="65" spans="2:34" x14ac:dyDescent="0.3">
      <c r="Q65" s="1"/>
      <c r="R65" s="291"/>
      <c r="S65" s="57" t="str">
        <f>'List of Courses'!B60</f>
        <v>CVL435</v>
      </c>
      <c r="T65" s="57" t="str">
        <f>'List of Courses'!C60</f>
        <v>Real Estate &amp; Urban Planning Development</v>
      </c>
      <c r="U65" s="57">
        <f>'List of Courses'!D60</f>
        <v>3</v>
      </c>
      <c r="V65" s="57">
        <f>'List of Courses'!E60</f>
        <v>5</v>
      </c>
      <c r="W65" s="57">
        <f>'List of Courses'!F60</f>
        <v>125</v>
      </c>
      <c r="X65" s="57">
        <f>'List of Courses'!G60</f>
        <v>2</v>
      </c>
      <c r="Y65" s="57">
        <f>'List of Courses'!H60</f>
        <v>2</v>
      </c>
      <c r="Z65" s="57">
        <f>'List of Courses'!I60</f>
        <v>0</v>
      </c>
      <c r="AA65" s="57">
        <f>'List of Courses'!J60</f>
        <v>4</v>
      </c>
      <c r="AB65" s="57" t="str">
        <f>'List of Courses'!K60</f>
        <v>--</v>
      </c>
      <c r="AC65" s="57">
        <f>'List of Courses'!L60</f>
        <v>0</v>
      </c>
      <c r="AD65" s="57">
        <f>'List of Courses'!M60</f>
        <v>0</v>
      </c>
      <c r="AE65" s="57">
        <f>'List of Courses'!N60</f>
        <v>0</v>
      </c>
      <c r="AF65" s="57">
        <f>'List of Courses'!O60</f>
        <v>0</v>
      </c>
      <c r="AG65" s="57">
        <f>'List of Courses'!P60</f>
        <v>1</v>
      </c>
      <c r="AH65" s="1"/>
    </row>
    <row r="66" spans="2:34" x14ac:dyDescent="0.3">
      <c r="L66" s="1"/>
      <c r="M66" s="1"/>
      <c r="N66" s="1"/>
      <c r="O66" s="1"/>
      <c r="P66" s="1"/>
      <c r="Q66" s="1"/>
      <c r="R66" s="291"/>
      <c r="S66" s="57" t="str">
        <f>'List of Courses'!B61</f>
        <v>CVL436</v>
      </c>
      <c r="T66" s="57" t="str">
        <f>'List of Courses'!C61</f>
        <v xml:space="preserve">Principles of Management &amp; Human Resources  </v>
      </c>
      <c r="U66" s="57">
        <f>'List of Courses'!D61</f>
        <v>3</v>
      </c>
      <c r="V66" s="57">
        <f>'List of Courses'!E61</f>
        <v>5</v>
      </c>
      <c r="W66" s="57">
        <f>'List of Courses'!F61</f>
        <v>125</v>
      </c>
      <c r="X66" s="57">
        <f>'List of Courses'!G61</f>
        <v>2</v>
      </c>
      <c r="Y66" s="57">
        <f>'List of Courses'!H61</f>
        <v>2</v>
      </c>
      <c r="Z66" s="57">
        <f>'List of Courses'!I61</f>
        <v>0</v>
      </c>
      <c r="AA66" s="57">
        <f>'List of Courses'!J61</f>
        <v>4</v>
      </c>
      <c r="AB66" s="57" t="str">
        <f>'List of Courses'!K61</f>
        <v>--</v>
      </c>
      <c r="AC66" s="57">
        <f>'List of Courses'!L61</f>
        <v>0</v>
      </c>
      <c r="AD66" s="57">
        <f>'List of Courses'!M61</f>
        <v>0</v>
      </c>
      <c r="AE66" s="57">
        <f>'List of Courses'!N61</f>
        <v>0</v>
      </c>
      <c r="AF66" s="57">
        <f>'List of Courses'!O61</f>
        <v>0</v>
      </c>
      <c r="AG66" s="57">
        <f>'List of Courses'!P61</f>
        <v>1</v>
      </c>
      <c r="AH66" s="1"/>
    </row>
    <row r="67" spans="2:34" x14ac:dyDescent="0.3">
      <c r="L67" s="1"/>
      <c r="M67" s="1"/>
      <c r="N67" s="1"/>
      <c r="O67" s="1"/>
      <c r="P67" s="1"/>
      <c r="Q67" s="1"/>
      <c r="R67" s="291"/>
      <c r="S67" s="57" t="str">
        <f>'List of Courses'!B62</f>
        <v>CVL437</v>
      </c>
      <c r="T67" s="57" t="str">
        <f>'List of Courses'!C62</f>
        <v>Building Information Modeling</v>
      </c>
      <c r="U67" s="57">
        <f>'List of Courses'!D62</f>
        <v>3</v>
      </c>
      <c r="V67" s="57">
        <f>'List of Courses'!E62</f>
        <v>5</v>
      </c>
      <c r="W67" s="57">
        <f>'List of Courses'!F62</f>
        <v>125</v>
      </c>
      <c r="X67" s="57">
        <f>'List of Courses'!G62</f>
        <v>1</v>
      </c>
      <c r="Y67" s="57">
        <f>'List of Courses'!H62</f>
        <v>2</v>
      </c>
      <c r="Z67" s="57">
        <f>'List of Courses'!I62</f>
        <v>2</v>
      </c>
      <c r="AA67" s="57">
        <f>'List of Courses'!J62</f>
        <v>5</v>
      </c>
      <c r="AB67" s="57" t="str">
        <f>'List of Courses'!K62</f>
        <v>--</v>
      </c>
      <c r="AC67" s="57">
        <f>'List of Courses'!L62</f>
        <v>0</v>
      </c>
      <c r="AD67" s="57">
        <f>'List of Courses'!M62</f>
        <v>0</v>
      </c>
      <c r="AE67" s="57">
        <f>'List of Courses'!N62</f>
        <v>0</v>
      </c>
      <c r="AF67" s="57">
        <f>'List of Courses'!O62</f>
        <v>0</v>
      </c>
      <c r="AG67" s="57">
        <f>'List of Courses'!P62</f>
        <v>1</v>
      </c>
      <c r="AH67" s="1"/>
    </row>
    <row r="68" spans="2:34" x14ac:dyDescent="0.3">
      <c r="Q68" s="1"/>
      <c r="R68" s="291"/>
      <c r="S68" s="57" t="str">
        <f>'List of Courses'!B66</f>
        <v>CVL462</v>
      </c>
      <c r="T68" s="57" t="str">
        <f>'List of Courses'!C66</f>
        <v>GIS in Smart Structures and Systems</v>
      </c>
      <c r="U68" s="57">
        <f>'List of Courses'!D66</f>
        <v>3</v>
      </c>
      <c r="V68" s="57">
        <f>'List of Courses'!E66</f>
        <v>5</v>
      </c>
      <c r="W68" s="57">
        <f>'List of Courses'!F66</f>
        <v>125</v>
      </c>
      <c r="X68" s="57">
        <f>'List of Courses'!G66</f>
        <v>2</v>
      </c>
      <c r="Y68" s="57">
        <f>'List of Courses'!H66</f>
        <v>2</v>
      </c>
      <c r="Z68" s="57">
        <f>'List of Courses'!I66</f>
        <v>0</v>
      </c>
      <c r="AA68" s="57">
        <f>'List of Courses'!J66</f>
        <v>4</v>
      </c>
      <c r="AB68" s="57" t="str">
        <f>'List of Courses'!K66</f>
        <v>--</v>
      </c>
      <c r="AC68" s="57">
        <f>'List of Courses'!L66</f>
        <v>0</v>
      </c>
      <c r="AD68" s="57">
        <f>'List of Courses'!M66</f>
        <v>0</v>
      </c>
      <c r="AE68" s="57">
        <f>'List of Courses'!N66</f>
        <v>0</v>
      </c>
      <c r="AF68" s="57">
        <f>'List of Courses'!O66</f>
        <v>0</v>
      </c>
      <c r="AG68" s="57">
        <f>'List of Courses'!P66</f>
        <v>1</v>
      </c>
      <c r="AH68" s="1"/>
    </row>
    <row r="69" spans="2:34" x14ac:dyDescent="0.3">
      <c r="L69" s="1"/>
      <c r="M69" s="1"/>
      <c r="N69" s="1"/>
      <c r="O69" s="1"/>
      <c r="P69" s="1"/>
      <c r="Q69" s="1"/>
      <c r="R69" s="291"/>
      <c r="S69" s="57" t="str">
        <f>'List of Courses'!B70</f>
        <v>IND252</v>
      </c>
      <c r="T69" s="57" t="str">
        <f>'List of Courses'!C70</f>
        <v>Operation Research I</v>
      </c>
      <c r="U69" s="57">
        <f>'List of Courses'!D70</f>
        <v>3</v>
      </c>
      <c r="V69" s="57">
        <f>'List of Courses'!E70</f>
        <v>5</v>
      </c>
      <c r="W69" s="57">
        <f>'List of Courses'!F70</f>
        <v>125</v>
      </c>
      <c r="X69" s="57">
        <f>'List of Courses'!G70</f>
        <v>2</v>
      </c>
      <c r="Y69" s="57">
        <f>'List of Courses'!H70</f>
        <v>2</v>
      </c>
      <c r="Z69" s="57">
        <f>'List of Courses'!I70</f>
        <v>0</v>
      </c>
      <c r="AA69" s="57">
        <f>'List of Courses'!J70</f>
        <v>4</v>
      </c>
      <c r="AB69" s="57" t="str">
        <f>'List of Courses'!K70</f>
        <v>MTH214</v>
      </c>
      <c r="AC69" s="57">
        <f>'List of Courses'!L70</f>
        <v>0</v>
      </c>
      <c r="AD69" s="57">
        <f>'List of Courses'!M70</f>
        <v>0</v>
      </c>
      <c r="AE69" s="57">
        <f>'List of Courses'!N70</f>
        <v>0</v>
      </c>
      <c r="AF69" s="57">
        <f>'List of Courses'!O70</f>
        <v>0</v>
      </c>
      <c r="AG69" s="57">
        <f>'List of Courses'!P70</f>
        <v>1</v>
      </c>
      <c r="AH69" s="1"/>
    </row>
    <row r="70" spans="2:34" x14ac:dyDescent="0.3">
      <c r="L70" s="1"/>
      <c r="M70" s="1"/>
      <c r="N70" s="1"/>
      <c r="O70" s="1"/>
      <c r="P70" s="1"/>
      <c r="Q70" s="1"/>
      <c r="R70" s="76"/>
      <c r="AH70" s="1"/>
    </row>
    <row r="71" spans="2:34" x14ac:dyDescent="0.3">
      <c r="B71" s="21"/>
      <c r="C71" s="21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U71" s="18"/>
    </row>
    <row r="75" spans="2:34" x14ac:dyDescent="0.3">
      <c r="D75" s="14"/>
      <c r="E75" s="14"/>
      <c r="F75" s="14"/>
      <c r="G75" s="14"/>
      <c r="H75" s="14"/>
      <c r="I75" s="14"/>
      <c r="J75" s="14"/>
      <c r="K75" s="15"/>
      <c r="L75" s="6"/>
      <c r="M75" s="6"/>
      <c r="N75" s="6"/>
      <c r="O75" s="6"/>
      <c r="P75" s="6"/>
      <c r="Q75" s="6"/>
    </row>
    <row r="76" spans="2:34" x14ac:dyDescent="0.3">
      <c r="D76" s="14"/>
      <c r="E76" s="14"/>
      <c r="F76" s="14"/>
      <c r="G76" s="14"/>
      <c r="H76" s="14"/>
      <c r="I76" s="14"/>
      <c r="J76" s="14"/>
      <c r="K76" s="15"/>
      <c r="L76" s="6"/>
      <c r="M76" s="6"/>
      <c r="N76" s="6"/>
      <c r="O76" s="6"/>
      <c r="P76" s="6"/>
      <c r="Q76" s="6"/>
    </row>
  </sheetData>
  <mergeCells count="114">
    <mergeCell ref="S2:AH5"/>
    <mergeCell ref="A12:A21"/>
    <mergeCell ref="B12:B13"/>
    <mergeCell ref="C12:C13"/>
    <mergeCell ref="D12:F12"/>
    <mergeCell ref="G12:J12"/>
    <mergeCell ref="K12:K13"/>
    <mergeCell ref="L12:L13"/>
    <mergeCell ref="M12:M13"/>
    <mergeCell ref="N12:N13"/>
    <mergeCell ref="C2:C3"/>
    <mergeCell ref="D2:F2"/>
    <mergeCell ref="G2:J2"/>
    <mergeCell ref="K2:K3"/>
    <mergeCell ref="L2:L3"/>
    <mergeCell ref="M2:M3"/>
    <mergeCell ref="AF12:AF13"/>
    <mergeCell ref="AG12:AG13"/>
    <mergeCell ref="AH12:AH13"/>
    <mergeCell ref="AB12:AB13"/>
    <mergeCell ref="AC12:AC13"/>
    <mergeCell ref="AD12:AD13"/>
    <mergeCell ref="AE12:AE13"/>
    <mergeCell ref="B24:B25"/>
    <mergeCell ref="C24:C25"/>
    <mergeCell ref="D24:F24"/>
    <mergeCell ref="G24:J24"/>
    <mergeCell ref="K24:K25"/>
    <mergeCell ref="L24:L25"/>
    <mergeCell ref="U12:W12"/>
    <mergeCell ref="X12:AA12"/>
    <mergeCell ref="O12:O13"/>
    <mergeCell ref="P12:P13"/>
    <mergeCell ref="Q12:Q13"/>
    <mergeCell ref="R12:R21"/>
    <mergeCell ref="S12:S13"/>
    <mergeCell ref="T12:T13"/>
    <mergeCell ref="AE24:AE25"/>
    <mergeCell ref="AF24:AF25"/>
    <mergeCell ref="AG24:AG25"/>
    <mergeCell ref="AH24:AH25"/>
    <mergeCell ref="A36:A45"/>
    <mergeCell ref="B36:B37"/>
    <mergeCell ref="C36:C37"/>
    <mergeCell ref="D36:F36"/>
    <mergeCell ref="G36:J36"/>
    <mergeCell ref="S24:S25"/>
    <mergeCell ref="T24:T25"/>
    <mergeCell ref="U24:W24"/>
    <mergeCell ref="X24:AA24"/>
    <mergeCell ref="AB24:AB25"/>
    <mergeCell ref="AC24:AC25"/>
    <mergeCell ref="M24:M25"/>
    <mergeCell ref="N24:N25"/>
    <mergeCell ref="O24:O25"/>
    <mergeCell ref="P24:P25"/>
    <mergeCell ref="Q24:Q25"/>
    <mergeCell ref="R24:R33"/>
    <mergeCell ref="S36:S37"/>
    <mergeCell ref="T36:T37"/>
    <mergeCell ref="A24:A33"/>
    <mergeCell ref="O36:O37"/>
    <mergeCell ref="P36:P37"/>
    <mergeCell ref="O48:O49"/>
    <mergeCell ref="P48:P49"/>
    <mergeCell ref="Q48:Q49"/>
    <mergeCell ref="R48:R56"/>
    <mergeCell ref="S48:S49"/>
    <mergeCell ref="T48:T49"/>
    <mergeCell ref="AD24:AD25"/>
    <mergeCell ref="AH36:AH37"/>
    <mergeCell ref="A48:A56"/>
    <mergeCell ref="B48:B49"/>
    <mergeCell ref="C48:C49"/>
    <mergeCell ref="D48:F48"/>
    <mergeCell ref="G48:J48"/>
    <mergeCell ref="K48:K49"/>
    <mergeCell ref="L48:L49"/>
    <mergeCell ref="M48:M49"/>
    <mergeCell ref="N48:N49"/>
    <mergeCell ref="AB36:AB37"/>
    <mergeCell ref="AC36:AC37"/>
    <mergeCell ref="AD36:AD37"/>
    <mergeCell ref="AE36:AE37"/>
    <mergeCell ref="AF36:AF37"/>
    <mergeCell ref="AG36:AG37"/>
    <mergeCell ref="Q36:Q37"/>
    <mergeCell ref="R36:R45"/>
    <mergeCell ref="U36:W36"/>
    <mergeCell ref="X36:AA36"/>
    <mergeCell ref="K36:K37"/>
    <mergeCell ref="L36:L37"/>
    <mergeCell ref="M36:M37"/>
    <mergeCell ref="N36:N37"/>
    <mergeCell ref="AD59:AD60"/>
    <mergeCell ref="AE59:AE60"/>
    <mergeCell ref="AF59:AF60"/>
    <mergeCell ref="AG59:AG60"/>
    <mergeCell ref="AF48:AF49"/>
    <mergeCell ref="AG48:AG49"/>
    <mergeCell ref="AH48:AH49"/>
    <mergeCell ref="R59:R69"/>
    <mergeCell ref="S59:S60"/>
    <mergeCell ref="T59:T60"/>
    <mergeCell ref="U59:W59"/>
    <mergeCell ref="X59:AA59"/>
    <mergeCell ref="AB59:AB60"/>
    <mergeCell ref="AC59:AC60"/>
    <mergeCell ref="U48:W48"/>
    <mergeCell ref="X48:AA48"/>
    <mergeCell ref="AB48:AB49"/>
    <mergeCell ref="AC48:AC49"/>
    <mergeCell ref="AD48:AD49"/>
    <mergeCell ref="AE48:AE49"/>
  </mergeCells>
  <phoneticPr fontId="10" type="noConversion"/>
  <conditionalFormatting sqref="D22">
    <cfRule type="cellIs" dxfId="115" priority="21" operator="greaterThan">
      <formula>18</formula>
    </cfRule>
  </conditionalFormatting>
  <conditionalFormatting sqref="D34">
    <cfRule type="cellIs" dxfId="114" priority="13" operator="greaterThan">
      <formula>18</formula>
    </cfRule>
  </conditionalFormatting>
  <conditionalFormatting sqref="D46">
    <cfRule type="cellIs" dxfId="113" priority="15" operator="greaterThan">
      <formula>18</formula>
    </cfRule>
  </conditionalFormatting>
  <conditionalFormatting sqref="D57">
    <cfRule type="cellIs" dxfId="112" priority="17" operator="greaterThan">
      <formula>18</formula>
    </cfRule>
  </conditionalFormatting>
  <conditionalFormatting sqref="E22">
    <cfRule type="cellIs" dxfId="111" priority="22" operator="greaterThan">
      <formula>30</formula>
    </cfRule>
  </conditionalFormatting>
  <conditionalFormatting sqref="E34">
    <cfRule type="cellIs" dxfId="110" priority="14" operator="greaterThan">
      <formula>30</formula>
    </cfRule>
  </conditionalFormatting>
  <conditionalFormatting sqref="E46">
    <cfRule type="cellIs" dxfId="109" priority="16" operator="greaterThan">
      <formula>30</formula>
    </cfRule>
  </conditionalFormatting>
  <conditionalFormatting sqref="E57">
    <cfRule type="cellIs" dxfId="108" priority="18" operator="greaterThan">
      <formula>30</formula>
    </cfRule>
  </conditionalFormatting>
  <conditionalFormatting sqref="F22">
    <cfRule type="cellIs" dxfId="107" priority="30" operator="greaterThan">
      <formula>750</formula>
    </cfRule>
  </conditionalFormatting>
  <conditionalFormatting sqref="F34">
    <cfRule type="cellIs" dxfId="106" priority="28" operator="greaterThan">
      <formula>750</formula>
    </cfRule>
  </conditionalFormatting>
  <conditionalFormatting sqref="F46">
    <cfRule type="cellIs" dxfId="105" priority="26" operator="greaterThan">
      <formula>750</formula>
    </cfRule>
  </conditionalFormatting>
  <conditionalFormatting sqref="F57">
    <cfRule type="cellIs" dxfId="104" priority="24" operator="greaterThan">
      <formula>750</formula>
    </cfRule>
  </conditionalFormatting>
  <conditionalFormatting sqref="J22">
    <cfRule type="cellIs" dxfId="103" priority="38" operator="greaterThan">
      <formula>25</formula>
    </cfRule>
  </conditionalFormatting>
  <conditionalFormatting sqref="J34">
    <cfRule type="cellIs" dxfId="102" priority="37" operator="greaterThan">
      <formula>25</formula>
    </cfRule>
  </conditionalFormatting>
  <conditionalFormatting sqref="J46">
    <cfRule type="cellIs" dxfId="101" priority="36" operator="greaterThan">
      <formula>25</formula>
    </cfRule>
  </conditionalFormatting>
  <conditionalFormatting sqref="J57">
    <cfRule type="cellIs" dxfId="100" priority="35" operator="greaterThan">
      <formula>25</formula>
    </cfRule>
  </conditionalFormatting>
  <conditionalFormatting sqref="M4">
    <cfRule type="cellIs" dxfId="99" priority="6" operator="lessThan">
      <formula>$L$4</formula>
    </cfRule>
  </conditionalFormatting>
  <conditionalFormatting sqref="M5">
    <cfRule type="cellIs" dxfId="98" priority="5" operator="lessThan">
      <formula>$L$5</formula>
    </cfRule>
  </conditionalFormatting>
  <conditionalFormatting sqref="M6">
    <cfRule type="cellIs" dxfId="97" priority="4" operator="lessThan">
      <formula>$L$6</formula>
    </cfRule>
  </conditionalFormatting>
  <conditionalFormatting sqref="M7">
    <cfRule type="cellIs" dxfId="96" priority="3" operator="lessThan">
      <formula>$L$7</formula>
    </cfRule>
  </conditionalFormatting>
  <conditionalFormatting sqref="M8">
    <cfRule type="cellIs" dxfId="95" priority="2" operator="greaterThan">
      <formula>$L$8</formula>
    </cfRule>
  </conditionalFormatting>
  <conditionalFormatting sqref="M9">
    <cfRule type="cellIs" dxfId="94" priority="1" operator="lessThan">
      <formula>$L$9</formula>
    </cfRule>
  </conditionalFormatting>
  <conditionalFormatting sqref="U22">
    <cfRule type="cellIs" dxfId="93" priority="19" operator="greaterThan">
      <formula>18</formula>
    </cfRule>
  </conditionalFormatting>
  <conditionalFormatting sqref="U34">
    <cfRule type="cellIs" dxfId="92" priority="11" operator="greaterThan">
      <formula>18</formula>
    </cfRule>
  </conditionalFormatting>
  <conditionalFormatting sqref="U46">
    <cfRule type="cellIs" dxfId="91" priority="9" operator="greaterThan">
      <formula>18</formula>
    </cfRule>
  </conditionalFormatting>
  <conditionalFormatting sqref="U57">
    <cfRule type="cellIs" dxfId="90" priority="7" operator="greaterThan">
      <formula>18</formula>
    </cfRule>
  </conditionalFormatting>
  <conditionalFormatting sqref="V22">
    <cfRule type="cellIs" dxfId="89" priority="20" operator="greaterThan">
      <formula>30</formula>
    </cfRule>
  </conditionalFormatting>
  <conditionalFormatting sqref="V34">
    <cfRule type="cellIs" dxfId="88" priority="12" operator="greaterThan">
      <formula>30</formula>
    </cfRule>
  </conditionalFormatting>
  <conditionalFormatting sqref="V46">
    <cfRule type="cellIs" dxfId="87" priority="10" operator="greaterThan">
      <formula>30</formula>
    </cfRule>
  </conditionalFormatting>
  <conditionalFormatting sqref="V57">
    <cfRule type="cellIs" dxfId="86" priority="8" operator="greaterThan">
      <formula>30</formula>
    </cfRule>
  </conditionalFormatting>
  <conditionalFormatting sqref="W22">
    <cfRule type="cellIs" dxfId="85" priority="29" operator="greaterThan">
      <formula>750</formula>
    </cfRule>
  </conditionalFormatting>
  <conditionalFormatting sqref="W34">
    <cfRule type="cellIs" dxfId="84" priority="27" operator="greaterThan">
      <formula>750</formula>
    </cfRule>
  </conditionalFormatting>
  <conditionalFormatting sqref="W46">
    <cfRule type="cellIs" dxfId="83" priority="25" operator="greaterThan">
      <formula>750</formula>
    </cfRule>
  </conditionalFormatting>
  <conditionalFormatting sqref="W57">
    <cfRule type="cellIs" dxfId="82" priority="23" operator="greaterThan">
      <formula>750</formula>
    </cfRule>
  </conditionalFormatting>
  <conditionalFormatting sqref="AA22">
    <cfRule type="cellIs" dxfId="81" priority="31" operator="greaterThan">
      <formula>25</formula>
    </cfRule>
  </conditionalFormatting>
  <conditionalFormatting sqref="AA34">
    <cfRule type="cellIs" dxfId="80" priority="32" operator="greaterThan">
      <formula>25</formula>
    </cfRule>
  </conditionalFormatting>
  <conditionalFormatting sqref="AA46">
    <cfRule type="cellIs" dxfId="79" priority="33" operator="greaterThan">
      <formula>25</formula>
    </cfRule>
  </conditionalFormatting>
  <conditionalFormatting sqref="AA57">
    <cfRule type="cellIs" dxfId="78" priority="34" operator="greaterThan">
      <formula>25</formula>
    </cfRule>
  </conditionalFormatting>
  <printOptions horizontalCentered="1" verticalCentered="1"/>
  <pageMargins left="0.16" right="0.25" top="0.16" bottom="0.16" header="0.16" footer="0.16"/>
  <pageSetup paperSize="9" scale="41" fitToHeight="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48D58B-79CF-4ADB-8B82-4D54A89A1BC7}">
  <sheetPr>
    <tabColor rgb="FFFF0000"/>
    <pageSetUpPr fitToPage="1"/>
  </sheetPr>
  <dimension ref="B1:S75"/>
  <sheetViews>
    <sheetView topLeftCell="A2" zoomScale="60" zoomScaleNormal="60" workbookViewId="0">
      <selection activeCell="C25" sqref="C25"/>
    </sheetView>
  </sheetViews>
  <sheetFormatPr defaultRowHeight="14.4" x14ac:dyDescent="0.3"/>
  <cols>
    <col min="3" max="3" width="50.44140625" bestFit="1" customWidth="1"/>
    <col min="4" max="4" width="6.33203125" customWidth="1"/>
    <col min="5" max="5" width="7.44140625" customWidth="1"/>
    <col min="6" max="6" width="6.5546875" customWidth="1"/>
    <col min="7" max="7" width="5.44140625" customWidth="1"/>
    <col min="8" max="8" width="5.6640625" customWidth="1"/>
    <col min="9" max="9" width="5.88671875" customWidth="1"/>
    <col min="10" max="10" width="6.44140625" customWidth="1"/>
    <col min="11" max="11" width="19.44140625" style="15" customWidth="1"/>
    <col min="12" max="12" width="6.5546875" bestFit="1" customWidth="1"/>
    <col min="13" max="13" width="6.33203125" bestFit="1" customWidth="1"/>
    <col min="14" max="14" width="7.88671875" customWidth="1"/>
    <col min="15" max="15" width="7" bestFit="1" customWidth="1"/>
    <col min="16" max="16" width="8.44140625" bestFit="1" customWidth="1"/>
    <col min="17" max="17" width="6.44140625" customWidth="1"/>
    <col min="19" max="19" width="32.6640625" customWidth="1"/>
  </cols>
  <sheetData>
    <row r="1" spans="2:19" ht="94.2" customHeight="1" x14ac:dyDescent="0.3">
      <c r="B1" s="300" t="s">
        <v>373</v>
      </c>
      <c r="C1" s="300"/>
      <c r="D1" s="300"/>
      <c r="E1" s="300"/>
      <c r="F1" s="300"/>
      <c r="G1" s="300"/>
      <c r="H1" s="300"/>
      <c r="I1" s="300"/>
      <c r="J1" s="300"/>
      <c r="K1" s="300"/>
      <c r="L1" s="300"/>
      <c r="M1" s="300"/>
      <c r="N1" s="300"/>
      <c r="O1" s="300"/>
      <c r="P1" s="300"/>
      <c r="Q1" s="300"/>
    </row>
    <row r="2" spans="2:19" ht="14.4" customHeight="1" x14ac:dyDescent="0.3">
      <c r="B2" s="312" t="s">
        <v>17</v>
      </c>
      <c r="C2" s="312" t="s">
        <v>18</v>
      </c>
      <c r="D2" s="312" t="s">
        <v>1</v>
      </c>
      <c r="E2" s="312"/>
      <c r="F2" s="312"/>
      <c r="G2" s="312" t="s">
        <v>2</v>
      </c>
      <c r="H2" s="312"/>
      <c r="I2" s="312"/>
      <c r="J2" s="312"/>
      <c r="K2" s="311" t="s">
        <v>19</v>
      </c>
      <c r="L2" s="311" t="s">
        <v>20</v>
      </c>
      <c r="M2" s="311" t="s">
        <v>21</v>
      </c>
      <c r="N2" s="313" t="s">
        <v>111</v>
      </c>
      <c r="O2" s="311" t="s">
        <v>22</v>
      </c>
      <c r="P2" s="311" t="s">
        <v>98</v>
      </c>
      <c r="Q2" s="311" t="s">
        <v>89</v>
      </c>
      <c r="S2" s="15" t="s">
        <v>114</v>
      </c>
    </row>
    <row r="3" spans="2:19" ht="15" customHeight="1" x14ac:dyDescent="0.3">
      <c r="B3" s="312"/>
      <c r="C3" s="312"/>
      <c r="D3" s="23" t="s">
        <v>3</v>
      </c>
      <c r="E3" s="23" t="s">
        <v>4</v>
      </c>
      <c r="F3" s="23" t="s">
        <v>5</v>
      </c>
      <c r="G3" s="23" t="s">
        <v>6</v>
      </c>
      <c r="H3" s="23" t="s">
        <v>7</v>
      </c>
      <c r="I3" s="23" t="s">
        <v>8</v>
      </c>
      <c r="J3" s="23" t="s">
        <v>9</v>
      </c>
      <c r="K3" s="311"/>
      <c r="L3" s="311"/>
      <c r="M3" s="311"/>
      <c r="N3" s="313"/>
      <c r="O3" s="311"/>
      <c r="P3" s="311"/>
      <c r="Q3" s="311"/>
      <c r="S3" s="9" t="s">
        <v>10</v>
      </c>
    </row>
    <row r="4" spans="2:19" x14ac:dyDescent="0.3">
      <c r="B4" s="32" t="s">
        <v>84</v>
      </c>
      <c r="C4" s="32" t="s">
        <v>24</v>
      </c>
      <c r="D4" s="8">
        <v>0</v>
      </c>
      <c r="E4" s="8">
        <v>0</v>
      </c>
      <c r="F4" s="8"/>
      <c r="G4" s="8"/>
      <c r="H4" s="8"/>
      <c r="I4" s="8"/>
      <c r="J4" s="8"/>
      <c r="K4" s="50" t="s">
        <v>80</v>
      </c>
      <c r="L4" s="8">
        <v>1</v>
      </c>
      <c r="M4" s="8">
        <v>0</v>
      </c>
      <c r="N4" s="8">
        <v>0</v>
      </c>
      <c r="O4" s="8">
        <v>0</v>
      </c>
      <c r="P4" s="8">
        <v>0</v>
      </c>
      <c r="Q4" s="8">
        <v>0</v>
      </c>
      <c r="S4" s="85" t="s">
        <v>12</v>
      </c>
    </row>
    <row r="5" spans="2:19" x14ac:dyDescent="0.3">
      <c r="B5" s="32" t="s">
        <v>85</v>
      </c>
      <c r="C5" s="32" t="s">
        <v>25</v>
      </c>
      <c r="D5" s="8">
        <v>0</v>
      </c>
      <c r="E5" s="8">
        <v>0</v>
      </c>
      <c r="F5" s="8"/>
      <c r="G5" s="8"/>
      <c r="H5" s="8"/>
      <c r="I5" s="8"/>
      <c r="J5" s="8"/>
      <c r="K5" s="8" t="str">
        <f>B4</f>
        <v>EGL111</v>
      </c>
      <c r="L5" s="8">
        <v>1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S5" s="86" t="s">
        <v>14</v>
      </c>
    </row>
    <row r="6" spans="2:19" x14ac:dyDescent="0.3">
      <c r="B6" s="32" t="s">
        <v>106</v>
      </c>
      <c r="C6" s="32" t="s">
        <v>35</v>
      </c>
      <c r="D6" s="8">
        <v>3</v>
      </c>
      <c r="E6" s="8">
        <v>5</v>
      </c>
      <c r="F6" s="8">
        <v>125</v>
      </c>
      <c r="G6" s="8">
        <v>3</v>
      </c>
      <c r="H6" s="8">
        <v>0</v>
      </c>
      <c r="I6" s="8">
        <v>0</v>
      </c>
      <c r="J6" s="8">
        <f>G6+(H6+I6)</f>
        <v>3</v>
      </c>
      <c r="K6" s="8" t="str">
        <f>B5</f>
        <v>EGL112</v>
      </c>
      <c r="L6" s="8">
        <v>1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S6" s="87" t="s">
        <v>103</v>
      </c>
    </row>
    <row r="7" spans="2:19" x14ac:dyDescent="0.3">
      <c r="B7" s="9" t="s">
        <v>107</v>
      </c>
      <c r="C7" s="9" t="s">
        <v>36</v>
      </c>
      <c r="D7" s="8">
        <v>3</v>
      </c>
      <c r="E7" s="8">
        <v>5</v>
      </c>
      <c r="F7" s="8">
        <v>125</v>
      </c>
      <c r="G7" s="8">
        <v>3</v>
      </c>
      <c r="H7" s="8">
        <v>0</v>
      </c>
      <c r="I7" s="8">
        <v>0</v>
      </c>
      <c r="J7" s="8">
        <f>G7+(H7+I7)</f>
        <v>3</v>
      </c>
      <c r="K7" s="8" t="str">
        <f>B5</f>
        <v>EGL112</v>
      </c>
      <c r="L7" s="8">
        <v>1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S7" s="88" t="s">
        <v>113</v>
      </c>
    </row>
    <row r="8" spans="2:19" x14ac:dyDescent="0.3">
      <c r="B8" s="32" t="s">
        <v>108</v>
      </c>
      <c r="C8" s="32" t="s">
        <v>104</v>
      </c>
      <c r="D8" s="8">
        <v>3</v>
      </c>
      <c r="E8" s="8">
        <v>5</v>
      </c>
      <c r="F8" s="8">
        <v>125</v>
      </c>
      <c r="G8" s="8">
        <v>1</v>
      </c>
      <c r="H8" s="8">
        <v>2</v>
      </c>
      <c r="I8" s="8">
        <v>2</v>
      </c>
      <c r="J8" s="8">
        <f>G8+(H8+I8)</f>
        <v>5</v>
      </c>
      <c r="K8" s="50" t="s">
        <v>80</v>
      </c>
      <c r="L8" s="8">
        <v>1</v>
      </c>
      <c r="M8" s="8">
        <v>0</v>
      </c>
      <c r="N8" s="8">
        <v>0</v>
      </c>
      <c r="O8" s="8">
        <v>0</v>
      </c>
      <c r="P8" s="8">
        <v>0</v>
      </c>
      <c r="Q8" s="8">
        <v>0</v>
      </c>
      <c r="S8" s="89" t="s">
        <v>112</v>
      </c>
    </row>
    <row r="9" spans="2:19" x14ac:dyDescent="0.3">
      <c r="B9" s="32" t="s">
        <v>183</v>
      </c>
      <c r="C9" s="33" t="s">
        <v>121</v>
      </c>
      <c r="D9" s="8">
        <v>3</v>
      </c>
      <c r="E9" s="8">
        <v>5</v>
      </c>
      <c r="F9" s="8">
        <v>125</v>
      </c>
      <c r="G9" s="8">
        <v>3</v>
      </c>
      <c r="H9" s="8">
        <v>0</v>
      </c>
      <c r="I9" s="8">
        <v>0</v>
      </c>
      <c r="J9" s="8">
        <f t="shared" ref="J9:J71" si="0">G9+(H9+I9)</f>
        <v>3</v>
      </c>
      <c r="K9" s="50" t="s">
        <v>80</v>
      </c>
      <c r="L9" s="8">
        <v>1</v>
      </c>
      <c r="M9" s="8">
        <v>0</v>
      </c>
      <c r="N9" s="8">
        <v>0</v>
      </c>
      <c r="O9" s="8">
        <v>0</v>
      </c>
      <c r="P9" s="8">
        <v>0</v>
      </c>
      <c r="Q9" s="97">
        <v>1</v>
      </c>
    </row>
    <row r="10" spans="2:19" x14ac:dyDescent="0.3">
      <c r="B10" s="11" t="s">
        <v>261</v>
      </c>
      <c r="C10" s="11" t="s">
        <v>105</v>
      </c>
      <c r="D10" s="90">
        <v>3</v>
      </c>
      <c r="E10" s="90">
        <v>5</v>
      </c>
      <c r="F10" s="90">
        <v>125</v>
      </c>
      <c r="G10" s="90">
        <v>2</v>
      </c>
      <c r="H10" s="90">
        <v>2</v>
      </c>
      <c r="I10" s="90">
        <v>0</v>
      </c>
      <c r="J10" s="90">
        <f t="shared" si="0"/>
        <v>4</v>
      </c>
      <c r="K10" s="90" t="s">
        <v>80</v>
      </c>
      <c r="L10" s="90">
        <v>0</v>
      </c>
      <c r="M10" s="90">
        <v>1</v>
      </c>
      <c r="N10" s="4">
        <v>1</v>
      </c>
      <c r="O10" s="90">
        <v>0</v>
      </c>
      <c r="P10" s="90">
        <v>0</v>
      </c>
      <c r="Q10" s="90">
        <v>0</v>
      </c>
    </row>
    <row r="11" spans="2:19" x14ac:dyDescent="0.3">
      <c r="B11" s="52" t="s">
        <v>262</v>
      </c>
      <c r="C11" s="52" t="s">
        <v>26</v>
      </c>
      <c r="D11" s="53">
        <v>3</v>
      </c>
      <c r="E11" s="53">
        <v>5</v>
      </c>
      <c r="F11" s="53">
        <v>125</v>
      </c>
      <c r="G11" s="53">
        <v>2</v>
      </c>
      <c r="H11" s="53">
        <v>2</v>
      </c>
      <c r="I11" s="53">
        <v>0</v>
      </c>
      <c r="J11" s="53">
        <f t="shared" si="0"/>
        <v>4</v>
      </c>
      <c r="K11" s="53" t="s">
        <v>268</v>
      </c>
      <c r="L11" s="53">
        <v>0</v>
      </c>
      <c r="M11" s="53">
        <v>0</v>
      </c>
      <c r="N11" s="4">
        <v>1</v>
      </c>
      <c r="O11" s="53">
        <v>1</v>
      </c>
      <c r="P11" s="53">
        <v>0</v>
      </c>
      <c r="Q11" s="53">
        <v>0</v>
      </c>
    </row>
    <row r="12" spans="2:19" x14ac:dyDescent="0.3">
      <c r="B12" s="11" t="s">
        <v>263</v>
      </c>
      <c r="C12" s="11" t="s">
        <v>109</v>
      </c>
      <c r="D12" s="34">
        <v>3</v>
      </c>
      <c r="E12" s="34">
        <v>5</v>
      </c>
      <c r="F12" s="34">
        <v>125</v>
      </c>
      <c r="G12" s="34">
        <v>2</v>
      </c>
      <c r="H12" s="34">
        <v>2</v>
      </c>
      <c r="I12" s="34">
        <v>0</v>
      </c>
      <c r="J12" s="34">
        <f>G12+(H12+I12)</f>
        <v>4</v>
      </c>
      <c r="K12" s="34" t="s">
        <v>80</v>
      </c>
      <c r="L12" s="34">
        <v>0</v>
      </c>
      <c r="M12" s="34">
        <v>1</v>
      </c>
      <c r="N12" s="4">
        <v>1</v>
      </c>
      <c r="O12" s="34">
        <v>0</v>
      </c>
      <c r="P12" s="34">
        <v>0</v>
      </c>
      <c r="Q12" s="34">
        <v>0</v>
      </c>
    </row>
    <row r="13" spans="2:19" x14ac:dyDescent="0.3">
      <c r="B13" s="11" t="s">
        <v>264</v>
      </c>
      <c r="C13" s="11" t="s">
        <v>37</v>
      </c>
      <c r="D13" s="34">
        <v>3</v>
      </c>
      <c r="E13" s="34">
        <v>5</v>
      </c>
      <c r="F13" s="34">
        <v>125</v>
      </c>
      <c r="G13" s="34">
        <v>2</v>
      </c>
      <c r="H13" s="34">
        <v>2</v>
      </c>
      <c r="I13" s="34">
        <v>0</v>
      </c>
      <c r="J13" s="34">
        <f>G13+(H13+I13)</f>
        <v>4</v>
      </c>
      <c r="K13" s="34" t="s">
        <v>80</v>
      </c>
      <c r="L13" s="34">
        <v>0</v>
      </c>
      <c r="M13" s="34">
        <v>1</v>
      </c>
      <c r="N13" s="4">
        <v>1</v>
      </c>
      <c r="O13" s="34">
        <v>0</v>
      </c>
      <c r="P13" s="34">
        <v>0</v>
      </c>
      <c r="Q13" s="34">
        <v>0</v>
      </c>
    </row>
    <row r="14" spans="2:19" x14ac:dyDescent="0.3">
      <c r="B14" s="11" t="s">
        <v>265</v>
      </c>
      <c r="C14" s="11" t="s">
        <v>38</v>
      </c>
      <c r="D14" s="34">
        <v>3</v>
      </c>
      <c r="E14" s="34">
        <v>5</v>
      </c>
      <c r="F14" s="34">
        <v>125</v>
      </c>
      <c r="G14" s="34">
        <v>2</v>
      </c>
      <c r="H14" s="34">
        <v>2</v>
      </c>
      <c r="I14" s="34">
        <v>0</v>
      </c>
      <c r="J14" s="34">
        <f>G14+(H14+I14)</f>
        <v>4</v>
      </c>
      <c r="K14" s="34" t="str">
        <f>B11</f>
        <v>MTH112</v>
      </c>
      <c r="L14" s="34">
        <v>0</v>
      </c>
      <c r="M14" s="34">
        <v>0</v>
      </c>
      <c r="N14" s="4">
        <v>1</v>
      </c>
      <c r="O14" s="34">
        <v>1</v>
      </c>
      <c r="P14" s="34">
        <v>0</v>
      </c>
      <c r="Q14" s="34">
        <v>0</v>
      </c>
      <c r="R14" s="28"/>
      <c r="S14" s="28"/>
    </row>
    <row r="15" spans="2:19" x14ac:dyDescent="0.3">
      <c r="B15" s="11" t="s">
        <v>266</v>
      </c>
      <c r="C15" s="11" t="s">
        <v>65</v>
      </c>
      <c r="D15" s="34">
        <v>3</v>
      </c>
      <c r="E15" s="34">
        <v>5</v>
      </c>
      <c r="F15" s="34">
        <v>125</v>
      </c>
      <c r="G15" s="34">
        <v>2</v>
      </c>
      <c r="H15" s="34">
        <v>2</v>
      </c>
      <c r="I15" s="34">
        <v>0</v>
      </c>
      <c r="J15" s="34">
        <f>G15+(H15+I15)</f>
        <v>4</v>
      </c>
      <c r="K15" s="34" t="s">
        <v>269</v>
      </c>
      <c r="L15" s="34">
        <v>0</v>
      </c>
      <c r="M15" s="34">
        <v>0</v>
      </c>
      <c r="N15" s="4">
        <v>1</v>
      </c>
      <c r="O15" s="34">
        <v>1</v>
      </c>
      <c r="P15" s="34">
        <v>0</v>
      </c>
      <c r="Q15" s="34">
        <v>0</v>
      </c>
    </row>
    <row r="16" spans="2:19" x14ac:dyDescent="0.3">
      <c r="B16" s="283" t="s">
        <v>390</v>
      </c>
      <c r="C16" s="283" t="s">
        <v>385</v>
      </c>
      <c r="D16" s="53">
        <v>3</v>
      </c>
      <c r="E16" s="53">
        <v>5</v>
      </c>
      <c r="F16" s="53">
        <v>125</v>
      </c>
      <c r="G16" s="53">
        <v>2</v>
      </c>
      <c r="H16" s="53">
        <v>2</v>
      </c>
      <c r="I16" s="53">
        <v>0</v>
      </c>
      <c r="J16" s="53">
        <f t="shared" ref="J16:J18" si="1">G16+(H16+I16)</f>
        <v>4</v>
      </c>
      <c r="K16" s="53" t="s">
        <v>264</v>
      </c>
      <c r="L16" s="54">
        <v>0</v>
      </c>
      <c r="M16" s="54">
        <v>0</v>
      </c>
      <c r="N16" s="54">
        <v>0</v>
      </c>
      <c r="O16" s="54">
        <v>1</v>
      </c>
      <c r="P16" s="54">
        <v>0</v>
      </c>
      <c r="Q16" s="285">
        <v>1</v>
      </c>
    </row>
    <row r="17" spans="2:17" x14ac:dyDescent="0.3">
      <c r="B17" s="283" t="s">
        <v>391</v>
      </c>
      <c r="C17" s="283" t="s">
        <v>389</v>
      </c>
      <c r="D17" s="53">
        <v>3</v>
      </c>
      <c r="E17" s="53">
        <v>5</v>
      </c>
      <c r="F17" s="53">
        <v>125</v>
      </c>
      <c r="G17" s="53">
        <v>2</v>
      </c>
      <c r="H17" s="53">
        <v>2</v>
      </c>
      <c r="I17" s="53">
        <v>0</v>
      </c>
      <c r="J17" s="53">
        <f t="shared" si="1"/>
        <v>4</v>
      </c>
      <c r="K17" s="53" t="s">
        <v>394</v>
      </c>
      <c r="L17" s="54">
        <v>0</v>
      </c>
      <c r="M17" s="54">
        <v>0</v>
      </c>
      <c r="N17" s="54">
        <v>0</v>
      </c>
      <c r="O17" s="54">
        <v>1</v>
      </c>
      <c r="P17" s="54">
        <v>0</v>
      </c>
      <c r="Q17" s="285">
        <v>1</v>
      </c>
    </row>
    <row r="18" spans="2:17" x14ac:dyDescent="0.3">
      <c r="B18" s="283" t="s">
        <v>392</v>
      </c>
      <c r="C18" s="283" t="s">
        <v>393</v>
      </c>
      <c r="D18" s="53">
        <v>3</v>
      </c>
      <c r="E18" s="53">
        <v>5</v>
      </c>
      <c r="F18" s="53">
        <v>125</v>
      </c>
      <c r="G18" s="53">
        <v>2</v>
      </c>
      <c r="H18" s="53">
        <v>2</v>
      </c>
      <c r="I18" s="53">
        <v>0</v>
      </c>
      <c r="J18" s="53">
        <f t="shared" si="1"/>
        <v>4</v>
      </c>
      <c r="K18" s="53" t="s">
        <v>266</v>
      </c>
      <c r="L18" s="54">
        <v>0</v>
      </c>
      <c r="M18" s="54">
        <v>0</v>
      </c>
      <c r="N18" s="54">
        <v>0</v>
      </c>
      <c r="O18" s="54">
        <v>1</v>
      </c>
      <c r="P18" s="54">
        <v>0</v>
      </c>
      <c r="Q18" s="285">
        <v>1</v>
      </c>
    </row>
    <row r="19" spans="2:17" x14ac:dyDescent="0.3">
      <c r="B19" s="11" t="s">
        <v>267</v>
      </c>
      <c r="C19" s="11" t="s">
        <v>73</v>
      </c>
      <c r="D19" s="34">
        <v>3</v>
      </c>
      <c r="E19" s="34">
        <v>5</v>
      </c>
      <c r="F19" s="34">
        <v>125</v>
      </c>
      <c r="G19" s="34">
        <v>2</v>
      </c>
      <c r="H19" s="34">
        <v>2</v>
      </c>
      <c r="I19" s="34">
        <v>0</v>
      </c>
      <c r="J19" s="34">
        <f t="shared" si="0"/>
        <v>4</v>
      </c>
      <c r="K19" s="34" t="s">
        <v>80</v>
      </c>
      <c r="L19" s="34">
        <v>0</v>
      </c>
      <c r="M19" s="34">
        <v>0</v>
      </c>
      <c r="N19" s="4">
        <v>1</v>
      </c>
      <c r="O19" s="34">
        <v>1</v>
      </c>
      <c r="P19" s="34">
        <v>0</v>
      </c>
      <c r="Q19" s="34">
        <v>0</v>
      </c>
    </row>
    <row r="20" spans="2:17" x14ac:dyDescent="0.3">
      <c r="B20" s="11" t="s">
        <v>28</v>
      </c>
      <c r="C20" s="11" t="s">
        <v>29</v>
      </c>
      <c r="D20" s="34">
        <v>3</v>
      </c>
      <c r="E20" s="34">
        <v>5</v>
      </c>
      <c r="F20" s="34">
        <v>125</v>
      </c>
      <c r="G20" s="34">
        <v>2</v>
      </c>
      <c r="H20" s="34">
        <v>2</v>
      </c>
      <c r="I20" s="34">
        <v>1</v>
      </c>
      <c r="J20" s="34">
        <f t="shared" si="0"/>
        <v>5</v>
      </c>
      <c r="K20" s="34" t="s">
        <v>80</v>
      </c>
      <c r="L20" s="34">
        <v>0</v>
      </c>
      <c r="M20" s="34">
        <v>1</v>
      </c>
      <c r="N20" s="4">
        <v>1</v>
      </c>
      <c r="O20" s="34">
        <v>0</v>
      </c>
      <c r="P20" s="34">
        <v>0</v>
      </c>
      <c r="Q20" s="34">
        <v>0</v>
      </c>
    </row>
    <row r="21" spans="2:17" x14ac:dyDescent="0.3">
      <c r="B21" s="52" t="s">
        <v>30</v>
      </c>
      <c r="C21" s="52" t="s">
        <v>27</v>
      </c>
      <c r="D21" s="53">
        <v>3</v>
      </c>
      <c r="E21" s="53">
        <v>5</v>
      </c>
      <c r="F21" s="53">
        <v>125</v>
      </c>
      <c r="G21" s="53">
        <v>2</v>
      </c>
      <c r="H21" s="53">
        <v>1</v>
      </c>
      <c r="I21" s="53">
        <v>1</v>
      </c>
      <c r="J21" s="53">
        <f t="shared" si="0"/>
        <v>4</v>
      </c>
      <c r="K21" s="53" t="s">
        <v>80</v>
      </c>
      <c r="L21" s="53">
        <v>0</v>
      </c>
      <c r="M21" s="53">
        <v>0</v>
      </c>
      <c r="N21" s="4">
        <v>1</v>
      </c>
      <c r="O21" s="53">
        <v>1</v>
      </c>
      <c r="P21" s="53">
        <v>0</v>
      </c>
      <c r="Q21" s="53">
        <v>0</v>
      </c>
    </row>
    <row r="22" spans="2:17" x14ac:dyDescent="0.3">
      <c r="B22" s="52" t="s">
        <v>72</v>
      </c>
      <c r="C22" s="52" t="s">
        <v>122</v>
      </c>
      <c r="D22" s="53">
        <v>3</v>
      </c>
      <c r="E22" s="53">
        <v>5</v>
      </c>
      <c r="F22" s="53">
        <v>125</v>
      </c>
      <c r="G22" s="53">
        <v>2</v>
      </c>
      <c r="H22" s="53">
        <v>1</v>
      </c>
      <c r="I22" s="53">
        <v>1</v>
      </c>
      <c r="J22" s="53">
        <f t="shared" si="0"/>
        <v>4</v>
      </c>
      <c r="K22" s="53" t="s">
        <v>80</v>
      </c>
      <c r="L22" s="53">
        <v>0</v>
      </c>
      <c r="M22" s="53">
        <v>0</v>
      </c>
      <c r="N22" s="4">
        <v>1</v>
      </c>
      <c r="O22" s="53">
        <v>1</v>
      </c>
      <c r="P22" s="53">
        <v>0</v>
      </c>
      <c r="Q22" s="53">
        <v>0</v>
      </c>
    </row>
    <row r="23" spans="2:17" x14ac:dyDescent="0.3">
      <c r="B23" s="11" t="s">
        <v>270</v>
      </c>
      <c r="C23" s="11" t="s">
        <v>123</v>
      </c>
      <c r="D23" s="12">
        <v>3</v>
      </c>
      <c r="E23" s="12">
        <v>5</v>
      </c>
      <c r="F23" s="12">
        <v>125</v>
      </c>
      <c r="G23" s="12">
        <v>2</v>
      </c>
      <c r="H23" s="12">
        <v>2</v>
      </c>
      <c r="I23" s="12">
        <v>0</v>
      </c>
      <c r="J23" s="12">
        <f t="shared" si="0"/>
        <v>4</v>
      </c>
      <c r="K23" s="51" t="s">
        <v>80</v>
      </c>
      <c r="L23" s="12">
        <v>0</v>
      </c>
      <c r="M23" s="12">
        <v>1</v>
      </c>
      <c r="N23" s="4">
        <v>1</v>
      </c>
      <c r="O23" s="12">
        <v>0</v>
      </c>
      <c r="P23" s="12">
        <v>0</v>
      </c>
      <c r="Q23" s="12">
        <v>0</v>
      </c>
    </row>
    <row r="24" spans="2:17" x14ac:dyDescent="0.3">
      <c r="B24" s="52" t="s">
        <v>271</v>
      </c>
      <c r="C24" s="52" t="s">
        <v>124</v>
      </c>
      <c r="D24" s="53">
        <v>3</v>
      </c>
      <c r="E24" s="53">
        <v>5</v>
      </c>
      <c r="F24" s="53">
        <v>125</v>
      </c>
      <c r="G24" s="53">
        <v>2</v>
      </c>
      <c r="H24" s="53">
        <v>2</v>
      </c>
      <c r="I24" s="53">
        <v>0</v>
      </c>
      <c r="J24" s="53">
        <f t="shared" si="0"/>
        <v>4</v>
      </c>
      <c r="K24" s="53" t="str">
        <f>B23</f>
        <v>MEC111</v>
      </c>
      <c r="L24" s="53">
        <v>0</v>
      </c>
      <c r="M24" s="53">
        <v>0</v>
      </c>
      <c r="N24" s="4">
        <v>1</v>
      </c>
      <c r="O24" s="53">
        <v>1</v>
      </c>
      <c r="P24" s="53">
        <v>0</v>
      </c>
      <c r="Q24" s="53">
        <v>0</v>
      </c>
    </row>
    <row r="25" spans="2:17" x14ac:dyDescent="0.3">
      <c r="B25" s="11" t="s">
        <v>272</v>
      </c>
      <c r="C25" s="11" t="s">
        <v>31</v>
      </c>
      <c r="D25" s="12">
        <v>3</v>
      </c>
      <c r="E25" s="12">
        <v>5</v>
      </c>
      <c r="F25" s="12">
        <v>125</v>
      </c>
      <c r="G25" s="12">
        <v>2</v>
      </c>
      <c r="H25" s="12">
        <v>0</v>
      </c>
      <c r="I25" s="12">
        <v>2</v>
      </c>
      <c r="J25" s="12">
        <f t="shared" si="0"/>
        <v>4</v>
      </c>
      <c r="K25" s="51" t="s">
        <v>80</v>
      </c>
      <c r="L25" s="12">
        <v>0</v>
      </c>
      <c r="M25" s="12">
        <v>1</v>
      </c>
      <c r="N25" s="12">
        <v>0</v>
      </c>
      <c r="O25" s="12">
        <v>0</v>
      </c>
      <c r="P25" s="12">
        <v>0</v>
      </c>
      <c r="Q25" s="12">
        <v>0</v>
      </c>
    </row>
    <row r="26" spans="2:17" x14ac:dyDescent="0.3">
      <c r="B26" s="11" t="s">
        <v>273</v>
      </c>
      <c r="C26" s="11" t="s">
        <v>97</v>
      </c>
      <c r="D26" s="12">
        <v>3</v>
      </c>
      <c r="E26" s="12">
        <v>5</v>
      </c>
      <c r="F26" s="12">
        <v>125</v>
      </c>
      <c r="G26" s="12">
        <v>2</v>
      </c>
      <c r="H26" s="12">
        <v>2</v>
      </c>
      <c r="I26" s="12">
        <v>0</v>
      </c>
      <c r="J26" s="12">
        <f t="shared" si="0"/>
        <v>4</v>
      </c>
      <c r="K26" s="51" t="s">
        <v>80</v>
      </c>
      <c r="L26" s="12">
        <v>0</v>
      </c>
      <c r="M26" s="12">
        <v>1</v>
      </c>
      <c r="N26" s="12">
        <v>0</v>
      </c>
      <c r="O26" s="12">
        <v>0</v>
      </c>
      <c r="P26" s="12">
        <v>0</v>
      </c>
      <c r="Q26" s="97">
        <v>1</v>
      </c>
    </row>
    <row r="27" spans="2:17" x14ac:dyDescent="0.3">
      <c r="B27" s="11" t="s">
        <v>274</v>
      </c>
      <c r="C27" s="11" t="s">
        <v>120</v>
      </c>
      <c r="D27" s="34">
        <v>3</v>
      </c>
      <c r="E27" s="34">
        <v>5</v>
      </c>
      <c r="F27" s="34">
        <v>125</v>
      </c>
      <c r="G27" s="34">
        <v>2</v>
      </c>
      <c r="H27" s="34">
        <v>2</v>
      </c>
      <c r="I27" s="34">
        <v>0</v>
      </c>
      <c r="J27" s="34">
        <f>G27+(H27+I27)</f>
        <v>4</v>
      </c>
      <c r="K27" s="34" t="s">
        <v>80</v>
      </c>
      <c r="L27" s="34">
        <v>0</v>
      </c>
      <c r="M27" s="34">
        <v>1</v>
      </c>
      <c r="N27" s="34">
        <v>0</v>
      </c>
      <c r="O27" s="34">
        <v>0</v>
      </c>
      <c r="P27" s="34">
        <v>0</v>
      </c>
      <c r="Q27" s="57">
        <v>1</v>
      </c>
    </row>
    <row r="28" spans="2:17" x14ac:dyDescent="0.3">
      <c r="B28" s="11" t="s">
        <v>275</v>
      </c>
      <c r="C28" s="11" t="s">
        <v>125</v>
      </c>
      <c r="D28" s="34">
        <v>3</v>
      </c>
      <c r="E28" s="34">
        <v>5</v>
      </c>
      <c r="F28" s="34">
        <v>125</v>
      </c>
      <c r="G28" s="34">
        <v>2</v>
      </c>
      <c r="H28" s="34">
        <v>2</v>
      </c>
      <c r="I28" s="34">
        <v>0</v>
      </c>
      <c r="J28" s="34">
        <f>G28+(H28+I28)</f>
        <v>4</v>
      </c>
      <c r="K28" s="34" t="s">
        <v>80</v>
      </c>
      <c r="L28" s="34">
        <v>0</v>
      </c>
      <c r="M28" s="34">
        <v>1</v>
      </c>
      <c r="N28" s="34">
        <v>0</v>
      </c>
      <c r="O28" s="34">
        <v>0</v>
      </c>
      <c r="P28" s="34">
        <v>0</v>
      </c>
      <c r="Q28" s="12">
        <v>0</v>
      </c>
    </row>
    <row r="29" spans="2:17" x14ac:dyDescent="0.3">
      <c r="B29" s="11" t="s">
        <v>110</v>
      </c>
      <c r="C29" s="11" t="s">
        <v>96</v>
      </c>
      <c r="D29" s="12">
        <v>3</v>
      </c>
      <c r="E29" s="12">
        <v>5</v>
      </c>
      <c r="F29" s="12">
        <v>125</v>
      </c>
      <c r="G29" s="12">
        <v>2</v>
      </c>
      <c r="H29" s="12">
        <v>0</v>
      </c>
      <c r="I29" s="12">
        <v>2</v>
      </c>
      <c r="J29" s="12">
        <f t="shared" si="0"/>
        <v>4</v>
      </c>
      <c r="K29" s="51" t="s">
        <v>80</v>
      </c>
      <c r="L29" s="12">
        <v>0</v>
      </c>
      <c r="M29" s="12">
        <v>1</v>
      </c>
      <c r="N29" s="12">
        <v>0</v>
      </c>
      <c r="O29" s="12">
        <v>0</v>
      </c>
      <c r="P29" s="12">
        <v>0</v>
      </c>
      <c r="Q29" s="12">
        <v>0</v>
      </c>
    </row>
    <row r="30" spans="2:17" x14ac:dyDescent="0.3">
      <c r="B30" s="52" t="s">
        <v>276</v>
      </c>
      <c r="C30" s="52" t="s">
        <v>32</v>
      </c>
      <c r="D30" s="54">
        <v>3</v>
      </c>
      <c r="E30" s="54">
        <v>5</v>
      </c>
      <c r="F30" s="54">
        <v>125</v>
      </c>
      <c r="G30" s="54">
        <v>2</v>
      </c>
      <c r="H30" s="54">
        <v>2</v>
      </c>
      <c r="I30" s="54">
        <v>0</v>
      </c>
      <c r="J30" s="53">
        <f t="shared" si="0"/>
        <v>4</v>
      </c>
      <c r="K30" s="54" t="str">
        <f>B23</f>
        <v>MEC111</v>
      </c>
      <c r="L30" s="54">
        <v>0</v>
      </c>
      <c r="M30" s="54">
        <v>0</v>
      </c>
      <c r="N30" s="54">
        <v>0</v>
      </c>
      <c r="O30" s="54">
        <v>1</v>
      </c>
      <c r="P30" s="54">
        <v>0</v>
      </c>
      <c r="Q30" s="54">
        <v>0</v>
      </c>
    </row>
    <row r="31" spans="2:17" x14ac:dyDescent="0.3">
      <c r="B31" s="52" t="s">
        <v>277</v>
      </c>
      <c r="C31" s="52" t="s">
        <v>45</v>
      </c>
      <c r="D31" s="53">
        <v>3</v>
      </c>
      <c r="E31" s="53">
        <v>5</v>
      </c>
      <c r="F31" s="53">
        <v>125</v>
      </c>
      <c r="G31" s="53">
        <v>2</v>
      </c>
      <c r="H31" s="53">
        <v>2</v>
      </c>
      <c r="I31" s="53">
        <v>0</v>
      </c>
      <c r="J31" s="53">
        <f t="shared" si="0"/>
        <v>4</v>
      </c>
      <c r="K31" s="53" t="str">
        <f>B30</f>
        <v>CVL211</v>
      </c>
      <c r="L31" s="53">
        <v>0</v>
      </c>
      <c r="M31" s="53">
        <v>0</v>
      </c>
      <c r="N31" s="53">
        <v>0</v>
      </c>
      <c r="O31" s="53">
        <v>1</v>
      </c>
      <c r="P31" s="53">
        <v>0</v>
      </c>
      <c r="Q31" s="54">
        <v>0</v>
      </c>
    </row>
    <row r="32" spans="2:17" x14ac:dyDescent="0.3">
      <c r="B32" s="52" t="s">
        <v>278</v>
      </c>
      <c r="C32" s="52" t="s">
        <v>43</v>
      </c>
      <c r="D32" s="54">
        <v>3</v>
      </c>
      <c r="E32" s="54">
        <v>5</v>
      </c>
      <c r="F32" s="54">
        <v>125</v>
      </c>
      <c r="G32" s="54">
        <v>2</v>
      </c>
      <c r="H32" s="54">
        <v>1</v>
      </c>
      <c r="I32" s="54">
        <v>1</v>
      </c>
      <c r="J32" s="53">
        <f t="shared" si="0"/>
        <v>4</v>
      </c>
      <c r="K32" s="60" t="s">
        <v>80</v>
      </c>
      <c r="L32" s="54">
        <v>0</v>
      </c>
      <c r="M32" s="54">
        <v>0</v>
      </c>
      <c r="N32" s="54">
        <v>0</v>
      </c>
      <c r="O32" s="54">
        <v>1</v>
      </c>
      <c r="P32" s="54">
        <v>0</v>
      </c>
      <c r="Q32" s="54">
        <v>0</v>
      </c>
    </row>
    <row r="33" spans="2:17" x14ac:dyDescent="0.3">
      <c r="B33" s="52" t="s">
        <v>279</v>
      </c>
      <c r="C33" s="52" t="s">
        <v>40</v>
      </c>
      <c r="D33" s="61">
        <v>3</v>
      </c>
      <c r="E33" s="53">
        <v>5</v>
      </c>
      <c r="F33" s="53">
        <v>125</v>
      </c>
      <c r="G33" s="53">
        <v>2</v>
      </c>
      <c r="H33" s="53">
        <v>2</v>
      </c>
      <c r="I33" s="53">
        <v>0</v>
      </c>
      <c r="J33" s="53">
        <f t="shared" si="0"/>
        <v>4</v>
      </c>
      <c r="K33" s="60" t="s">
        <v>80</v>
      </c>
      <c r="L33" s="59">
        <v>0</v>
      </c>
      <c r="M33" s="59">
        <v>0</v>
      </c>
      <c r="N33" s="59">
        <v>0</v>
      </c>
      <c r="O33" s="59">
        <v>1</v>
      </c>
      <c r="P33" s="59">
        <v>0</v>
      </c>
      <c r="Q33" s="54">
        <v>0</v>
      </c>
    </row>
    <row r="34" spans="2:17" x14ac:dyDescent="0.3">
      <c r="B34" s="52" t="s">
        <v>280</v>
      </c>
      <c r="C34" s="52" t="s">
        <v>39</v>
      </c>
      <c r="D34" s="53">
        <v>3</v>
      </c>
      <c r="E34" s="53">
        <v>5</v>
      </c>
      <c r="F34" s="53">
        <v>125</v>
      </c>
      <c r="G34" s="53">
        <v>1</v>
      </c>
      <c r="H34" s="53">
        <v>2</v>
      </c>
      <c r="I34" s="53">
        <v>2</v>
      </c>
      <c r="J34" s="53">
        <f>G34+(H34+I34)</f>
        <v>5</v>
      </c>
      <c r="K34" s="58" t="s">
        <v>80</v>
      </c>
      <c r="L34" s="53">
        <v>0</v>
      </c>
      <c r="M34" s="53">
        <v>0</v>
      </c>
      <c r="N34" s="53">
        <v>0</v>
      </c>
      <c r="O34" s="53">
        <v>1</v>
      </c>
      <c r="P34" s="53">
        <v>0</v>
      </c>
      <c r="Q34" s="54">
        <v>0</v>
      </c>
    </row>
    <row r="35" spans="2:17" x14ac:dyDescent="0.3">
      <c r="B35" s="52" t="s">
        <v>281</v>
      </c>
      <c r="C35" s="52" t="s">
        <v>41</v>
      </c>
      <c r="D35" s="59">
        <v>3</v>
      </c>
      <c r="E35" s="53">
        <v>5</v>
      </c>
      <c r="F35" s="53">
        <v>125</v>
      </c>
      <c r="G35" s="53">
        <v>1</v>
      </c>
      <c r="H35" s="53">
        <v>2</v>
      </c>
      <c r="I35" s="53">
        <v>2</v>
      </c>
      <c r="J35" s="53">
        <f>G35+(H35+I35)</f>
        <v>5</v>
      </c>
      <c r="K35" s="53" t="str">
        <f>B25</f>
        <v>INT121</v>
      </c>
      <c r="L35" s="59">
        <v>0</v>
      </c>
      <c r="M35" s="59">
        <v>0</v>
      </c>
      <c r="N35" s="59">
        <v>0</v>
      </c>
      <c r="O35" s="59">
        <v>1</v>
      </c>
      <c r="P35" s="59">
        <v>0</v>
      </c>
      <c r="Q35" s="54">
        <v>0</v>
      </c>
    </row>
    <row r="36" spans="2:17" x14ac:dyDescent="0.3">
      <c r="B36" s="52" t="s">
        <v>282</v>
      </c>
      <c r="C36" s="52" t="s">
        <v>42</v>
      </c>
      <c r="D36" s="61">
        <v>3</v>
      </c>
      <c r="E36" s="53">
        <v>5</v>
      </c>
      <c r="F36" s="53">
        <v>125</v>
      </c>
      <c r="G36" s="53">
        <v>2</v>
      </c>
      <c r="H36" s="53">
        <v>2</v>
      </c>
      <c r="I36" s="53">
        <v>0</v>
      </c>
      <c r="J36" s="53">
        <f t="shared" si="0"/>
        <v>4</v>
      </c>
      <c r="K36" s="54" t="str">
        <f>B30</f>
        <v>CVL211</v>
      </c>
      <c r="L36" s="59">
        <v>0</v>
      </c>
      <c r="M36" s="59">
        <v>0</v>
      </c>
      <c r="N36" s="59">
        <v>0</v>
      </c>
      <c r="O36" s="59">
        <v>1</v>
      </c>
      <c r="P36" s="59">
        <v>0</v>
      </c>
      <c r="Q36" s="54">
        <v>0</v>
      </c>
    </row>
    <row r="37" spans="2:17" x14ac:dyDescent="0.3">
      <c r="B37" s="52" t="s">
        <v>283</v>
      </c>
      <c r="C37" s="52" t="s">
        <v>49</v>
      </c>
      <c r="D37" s="61">
        <v>3</v>
      </c>
      <c r="E37" s="53">
        <v>5</v>
      </c>
      <c r="F37" s="53">
        <v>125</v>
      </c>
      <c r="G37" s="53">
        <v>2</v>
      </c>
      <c r="H37" s="53">
        <v>1</v>
      </c>
      <c r="I37" s="53">
        <v>1</v>
      </c>
      <c r="J37" s="53">
        <f t="shared" si="0"/>
        <v>4</v>
      </c>
      <c r="K37" s="54" t="str">
        <f>B32</f>
        <v>CVL221</v>
      </c>
      <c r="L37" s="59">
        <v>0</v>
      </c>
      <c r="M37" s="59">
        <v>0</v>
      </c>
      <c r="N37" s="59">
        <v>0</v>
      </c>
      <c r="O37" s="59">
        <v>1</v>
      </c>
      <c r="P37" s="59">
        <v>0</v>
      </c>
      <c r="Q37" s="54">
        <v>0</v>
      </c>
    </row>
    <row r="38" spans="2:17" x14ac:dyDescent="0.3">
      <c r="B38" s="101" t="s">
        <v>284</v>
      </c>
      <c r="C38" s="101" t="s">
        <v>74</v>
      </c>
      <c r="D38" s="98">
        <v>3</v>
      </c>
      <c r="E38" s="98">
        <v>5</v>
      </c>
      <c r="F38" s="98">
        <v>125</v>
      </c>
      <c r="G38" s="98">
        <v>2</v>
      </c>
      <c r="H38" s="98">
        <v>2</v>
      </c>
      <c r="I38" s="98">
        <v>0</v>
      </c>
      <c r="J38" s="98">
        <f t="shared" si="0"/>
        <v>4</v>
      </c>
      <c r="K38" s="100" t="str">
        <f>B31</f>
        <v>CVL212</v>
      </c>
      <c r="L38" s="102">
        <v>0</v>
      </c>
      <c r="M38" s="102">
        <v>0</v>
      </c>
      <c r="N38" s="102">
        <v>0</v>
      </c>
      <c r="O38" s="102">
        <v>0</v>
      </c>
      <c r="P38" s="102">
        <v>1</v>
      </c>
      <c r="Q38" s="100">
        <v>0</v>
      </c>
    </row>
    <row r="39" spans="2:17" x14ac:dyDescent="0.3">
      <c r="B39" s="105" t="s">
        <v>285</v>
      </c>
      <c r="C39" s="105" t="s">
        <v>51</v>
      </c>
      <c r="D39" s="106">
        <v>3</v>
      </c>
      <c r="E39" s="96">
        <v>5</v>
      </c>
      <c r="F39" s="96">
        <v>125</v>
      </c>
      <c r="G39" s="96">
        <v>2</v>
      </c>
      <c r="H39" s="96">
        <v>2</v>
      </c>
      <c r="I39" s="96">
        <v>0</v>
      </c>
      <c r="J39" s="96">
        <f t="shared" si="0"/>
        <v>4</v>
      </c>
      <c r="K39" s="107" t="str">
        <f>B36</f>
        <v>CVL311</v>
      </c>
      <c r="L39" s="108">
        <v>0</v>
      </c>
      <c r="M39" s="108">
        <v>0</v>
      </c>
      <c r="N39" s="108">
        <v>0</v>
      </c>
      <c r="O39" s="108">
        <v>1</v>
      </c>
      <c r="P39" s="108">
        <v>0</v>
      </c>
      <c r="Q39" s="107">
        <v>0</v>
      </c>
    </row>
    <row r="40" spans="2:17" x14ac:dyDescent="0.3">
      <c r="B40" s="105" t="s">
        <v>286</v>
      </c>
      <c r="C40" s="105" t="s">
        <v>54</v>
      </c>
      <c r="D40" s="106">
        <v>3</v>
      </c>
      <c r="E40" s="96">
        <v>5</v>
      </c>
      <c r="F40" s="96">
        <v>125</v>
      </c>
      <c r="G40" s="96">
        <v>2</v>
      </c>
      <c r="H40" s="96">
        <v>2</v>
      </c>
      <c r="I40" s="96">
        <v>0</v>
      </c>
      <c r="J40" s="96">
        <f t="shared" si="0"/>
        <v>4</v>
      </c>
      <c r="K40" s="107" t="str">
        <f>B31</f>
        <v>CVL212</v>
      </c>
      <c r="L40" s="108">
        <v>0</v>
      </c>
      <c r="M40" s="108">
        <v>0</v>
      </c>
      <c r="N40" s="108">
        <v>0</v>
      </c>
      <c r="O40" s="108">
        <v>1</v>
      </c>
      <c r="P40" s="108">
        <v>0</v>
      </c>
      <c r="Q40" s="107">
        <v>0</v>
      </c>
    </row>
    <row r="41" spans="2:17" x14ac:dyDescent="0.3">
      <c r="B41" s="52" t="s">
        <v>287</v>
      </c>
      <c r="C41" s="52" t="s">
        <v>44</v>
      </c>
      <c r="D41" s="61">
        <v>3</v>
      </c>
      <c r="E41" s="53">
        <v>5</v>
      </c>
      <c r="F41" s="53">
        <v>125</v>
      </c>
      <c r="G41" s="53">
        <v>2</v>
      </c>
      <c r="H41" s="53">
        <v>1</v>
      </c>
      <c r="I41" s="53">
        <v>1</v>
      </c>
      <c r="J41" s="53">
        <f t="shared" si="0"/>
        <v>4</v>
      </c>
      <c r="K41" s="54" t="str">
        <f>B32</f>
        <v>CVL221</v>
      </c>
      <c r="L41" s="59">
        <v>0</v>
      </c>
      <c r="M41" s="59">
        <v>0</v>
      </c>
      <c r="N41" s="59">
        <v>0</v>
      </c>
      <c r="O41" s="59">
        <v>1</v>
      </c>
      <c r="P41" s="59">
        <v>0</v>
      </c>
      <c r="Q41" s="54">
        <v>0</v>
      </c>
    </row>
    <row r="42" spans="2:17" x14ac:dyDescent="0.3">
      <c r="B42" s="52" t="s">
        <v>288</v>
      </c>
      <c r="C42" s="52" t="s">
        <v>46</v>
      </c>
      <c r="D42" s="61">
        <v>3</v>
      </c>
      <c r="E42" s="53">
        <v>5</v>
      </c>
      <c r="F42" s="53">
        <v>125</v>
      </c>
      <c r="G42" s="53">
        <v>2</v>
      </c>
      <c r="H42" s="53">
        <v>2</v>
      </c>
      <c r="I42" s="53">
        <v>0</v>
      </c>
      <c r="J42" s="53">
        <f t="shared" si="0"/>
        <v>4</v>
      </c>
      <c r="K42" s="60" t="s">
        <v>80</v>
      </c>
      <c r="L42" s="59">
        <v>0</v>
      </c>
      <c r="M42" s="59">
        <v>0</v>
      </c>
      <c r="N42" s="59">
        <v>0</v>
      </c>
      <c r="O42" s="59">
        <v>1</v>
      </c>
      <c r="P42" s="59">
        <v>0</v>
      </c>
      <c r="Q42" s="54">
        <v>0</v>
      </c>
    </row>
    <row r="43" spans="2:17" x14ac:dyDescent="0.3">
      <c r="B43" s="101" t="s">
        <v>289</v>
      </c>
      <c r="C43" s="101" t="s">
        <v>55</v>
      </c>
      <c r="D43" s="98">
        <v>3</v>
      </c>
      <c r="E43" s="98">
        <v>5</v>
      </c>
      <c r="F43" s="98">
        <v>125</v>
      </c>
      <c r="G43" s="98">
        <v>2</v>
      </c>
      <c r="H43" s="98">
        <v>2</v>
      </c>
      <c r="I43" s="98">
        <v>0</v>
      </c>
      <c r="J43" s="98">
        <f t="shared" si="0"/>
        <v>4</v>
      </c>
      <c r="K43" s="100" t="str">
        <f>B33</f>
        <v>CVL231</v>
      </c>
      <c r="L43" s="102">
        <v>0</v>
      </c>
      <c r="M43" s="102">
        <v>0</v>
      </c>
      <c r="N43" s="102">
        <v>0</v>
      </c>
      <c r="O43" s="102">
        <v>0</v>
      </c>
      <c r="P43" s="102">
        <v>1</v>
      </c>
      <c r="Q43" s="100">
        <v>0</v>
      </c>
    </row>
    <row r="44" spans="2:17" x14ac:dyDescent="0.3">
      <c r="B44" s="101" t="s">
        <v>290</v>
      </c>
      <c r="C44" s="101" t="s">
        <v>57</v>
      </c>
      <c r="D44" s="98">
        <v>3</v>
      </c>
      <c r="E44" s="98">
        <v>5</v>
      </c>
      <c r="F44" s="98">
        <v>125</v>
      </c>
      <c r="G44" s="98">
        <v>2</v>
      </c>
      <c r="H44" s="98">
        <v>2</v>
      </c>
      <c r="I44" s="98">
        <v>0</v>
      </c>
      <c r="J44" s="98">
        <f t="shared" si="0"/>
        <v>4</v>
      </c>
      <c r="K44" s="104" t="s">
        <v>80</v>
      </c>
      <c r="L44" s="102">
        <v>0</v>
      </c>
      <c r="M44" s="102">
        <v>0</v>
      </c>
      <c r="N44" s="102">
        <v>0</v>
      </c>
      <c r="O44" s="102">
        <v>0</v>
      </c>
      <c r="P44" s="102">
        <v>1</v>
      </c>
      <c r="Q44" s="100">
        <v>0</v>
      </c>
    </row>
    <row r="45" spans="2:17" x14ac:dyDescent="0.3">
      <c r="B45" s="101" t="s">
        <v>291</v>
      </c>
      <c r="C45" s="101" t="s">
        <v>58</v>
      </c>
      <c r="D45" s="98">
        <v>3</v>
      </c>
      <c r="E45" s="98">
        <v>5</v>
      </c>
      <c r="F45" s="98">
        <v>125</v>
      </c>
      <c r="G45" s="98">
        <v>2</v>
      </c>
      <c r="H45" s="98">
        <v>1</v>
      </c>
      <c r="I45" s="98">
        <v>1</v>
      </c>
      <c r="J45" s="98">
        <f t="shared" si="0"/>
        <v>4</v>
      </c>
      <c r="K45" s="104" t="s">
        <v>80</v>
      </c>
      <c r="L45" s="102">
        <v>0</v>
      </c>
      <c r="M45" s="102">
        <v>0</v>
      </c>
      <c r="N45" s="102">
        <v>0</v>
      </c>
      <c r="O45" s="102">
        <v>0</v>
      </c>
      <c r="P45" s="102">
        <v>1</v>
      </c>
      <c r="Q45" s="100">
        <v>0</v>
      </c>
    </row>
    <row r="46" spans="2:17" x14ac:dyDescent="0.3">
      <c r="B46" s="52" t="s">
        <v>292</v>
      </c>
      <c r="C46" s="62" t="s">
        <v>53</v>
      </c>
      <c r="D46" s="54">
        <v>3</v>
      </c>
      <c r="E46" s="54">
        <v>5</v>
      </c>
      <c r="F46" s="54">
        <v>125</v>
      </c>
      <c r="G46" s="54">
        <v>2</v>
      </c>
      <c r="H46" s="54">
        <v>1</v>
      </c>
      <c r="I46" s="54">
        <v>1</v>
      </c>
      <c r="J46" s="54">
        <f t="shared" si="0"/>
        <v>4</v>
      </c>
      <c r="K46" s="54" t="str">
        <f>B14</f>
        <v>MTH215</v>
      </c>
      <c r="L46" s="54">
        <v>0</v>
      </c>
      <c r="M46" s="54">
        <v>0</v>
      </c>
      <c r="N46" s="54">
        <v>0</v>
      </c>
      <c r="O46" s="54">
        <v>1</v>
      </c>
      <c r="P46" s="54">
        <v>0</v>
      </c>
      <c r="Q46" s="54">
        <v>0</v>
      </c>
    </row>
    <row r="47" spans="2:17" x14ac:dyDescent="0.3">
      <c r="B47" s="101" t="s">
        <v>293</v>
      </c>
      <c r="C47" s="101" t="s">
        <v>76</v>
      </c>
      <c r="D47" s="98">
        <v>3</v>
      </c>
      <c r="E47" s="98">
        <v>5</v>
      </c>
      <c r="F47" s="98">
        <v>125</v>
      </c>
      <c r="G47" s="98">
        <v>2</v>
      </c>
      <c r="H47" s="98">
        <v>1</v>
      </c>
      <c r="I47" s="98">
        <v>1</v>
      </c>
      <c r="J47" s="98">
        <f t="shared" si="0"/>
        <v>4</v>
      </c>
      <c r="K47" s="100" t="str">
        <f>B29</f>
        <v>ECE151</v>
      </c>
      <c r="L47" s="102">
        <v>0</v>
      </c>
      <c r="M47" s="102">
        <v>0</v>
      </c>
      <c r="N47" s="102">
        <v>0</v>
      </c>
      <c r="O47" s="102">
        <v>0</v>
      </c>
      <c r="P47" s="102">
        <v>1</v>
      </c>
      <c r="Q47" s="100">
        <v>0</v>
      </c>
    </row>
    <row r="48" spans="2:17" x14ac:dyDescent="0.3">
      <c r="B48" s="55" t="s">
        <v>294</v>
      </c>
      <c r="C48" s="55" t="s">
        <v>63</v>
      </c>
      <c r="D48" s="63">
        <v>3</v>
      </c>
      <c r="E48" s="63">
        <v>5</v>
      </c>
      <c r="F48" s="63">
        <v>125</v>
      </c>
      <c r="G48" s="63">
        <v>2</v>
      </c>
      <c r="H48" s="63">
        <v>0</v>
      </c>
      <c r="I48" s="63">
        <v>2</v>
      </c>
      <c r="J48" s="63">
        <f>G48+(H48+I48)</f>
        <v>4</v>
      </c>
      <c r="K48" s="63" t="s">
        <v>80</v>
      </c>
      <c r="L48" s="63">
        <v>0</v>
      </c>
      <c r="M48" s="63">
        <v>0</v>
      </c>
      <c r="N48" s="63">
        <v>0</v>
      </c>
      <c r="O48" s="63">
        <v>0</v>
      </c>
      <c r="P48" s="63">
        <v>1</v>
      </c>
      <c r="Q48" s="99">
        <v>1</v>
      </c>
    </row>
    <row r="49" spans="2:17" x14ac:dyDescent="0.3">
      <c r="B49" s="52" t="s">
        <v>295</v>
      </c>
      <c r="C49" s="52" t="s">
        <v>94</v>
      </c>
      <c r="D49" s="61">
        <v>0</v>
      </c>
      <c r="E49" s="61">
        <v>0</v>
      </c>
      <c r="F49" s="61"/>
      <c r="G49" s="61"/>
      <c r="H49" s="61"/>
      <c r="I49" s="61"/>
      <c r="J49" s="61"/>
      <c r="K49" s="60" t="s">
        <v>80</v>
      </c>
      <c r="L49" s="59">
        <v>0</v>
      </c>
      <c r="M49" s="59">
        <v>0</v>
      </c>
      <c r="N49" s="59">
        <v>0</v>
      </c>
      <c r="O49" s="59">
        <v>1</v>
      </c>
      <c r="P49" s="59">
        <v>0</v>
      </c>
      <c r="Q49" s="54">
        <v>0</v>
      </c>
    </row>
    <row r="50" spans="2:17" x14ac:dyDescent="0.3">
      <c r="B50" s="52" t="s">
        <v>296</v>
      </c>
      <c r="C50" s="52" t="s">
        <v>95</v>
      </c>
      <c r="D50" s="61">
        <v>0</v>
      </c>
      <c r="E50" s="61">
        <v>0</v>
      </c>
      <c r="F50" s="61"/>
      <c r="G50" s="61"/>
      <c r="H50" s="61"/>
      <c r="I50" s="61"/>
      <c r="J50" s="61"/>
      <c r="K50" s="60" t="s">
        <v>297</v>
      </c>
      <c r="L50" s="59">
        <v>0</v>
      </c>
      <c r="M50" s="59">
        <v>0</v>
      </c>
      <c r="N50" s="59">
        <v>0</v>
      </c>
      <c r="O50" s="59">
        <v>1</v>
      </c>
      <c r="P50" s="59">
        <v>0</v>
      </c>
      <c r="Q50" s="54">
        <v>0</v>
      </c>
    </row>
    <row r="51" spans="2:17" x14ac:dyDescent="0.3">
      <c r="B51" s="52" t="s">
        <v>298</v>
      </c>
      <c r="C51" s="52" t="s">
        <v>52</v>
      </c>
      <c r="D51" s="61">
        <v>3</v>
      </c>
      <c r="E51" s="53">
        <v>5</v>
      </c>
      <c r="F51" s="53">
        <v>125</v>
      </c>
      <c r="G51" s="53">
        <v>2</v>
      </c>
      <c r="H51" s="53">
        <v>2</v>
      </c>
      <c r="I51" s="53">
        <v>0</v>
      </c>
      <c r="J51" s="53">
        <f t="shared" si="0"/>
        <v>4</v>
      </c>
      <c r="K51" s="54" t="str">
        <f>B37</f>
        <v>CVL312</v>
      </c>
      <c r="L51" s="59">
        <v>0</v>
      </c>
      <c r="M51" s="59">
        <v>0</v>
      </c>
      <c r="N51" s="59">
        <v>0</v>
      </c>
      <c r="O51" s="59">
        <v>1</v>
      </c>
      <c r="P51" s="59">
        <v>0</v>
      </c>
      <c r="Q51" s="54">
        <v>0</v>
      </c>
    </row>
    <row r="52" spans="2:17" x14ac:dyDescent="0.3">
      <c r="B52" s="101" t="s">
        <v>299</v>
      </c>
      <c r="C52" s="101" t="s">
        <v>77</v>
      </c>
      <c r="D52" s="98">
        <v>3</v>
      </c>
      <c r="E52" s="98">
        <v>5</v>
      </c>
      <c r="F52" s="98">
        <v>125</v>
      </c>
      <c r="G52" s="98">
        <v>2</v>
      </c>
      <c r="H52" s="98">
        <v>2</v>
      </c>
      <c r="I52" s="98">
        <v>0</v>
      </c>
      <c r="J52" s="98">
        <f t="shared" si="0"/>
        <v>4</v>
      </c>
      <c r="K52" s="100" t="str">
        <f>B39</f>
        <v>CVL314</v>
      </c>
      <c r="L52" s="102">
        <v>0</v>
      </c>
      <c r="M52" s="102">
        <v>0</v>
      </c>
      <c r="N52" s="102">
        <v>0</v>
      </c>
      <c r="O52" s="102">
        <v>0</v>
      </c>
      <c r="P52" s="102">
        <v>1</v>
      </c>
      <c r="Q52" s="100">
        <v>0</v>
      </c>
    </row>
    <row r="53" spans="2:17" x14ac:dyDescent="0.3">
      <c r="B53" s="103" t="s">
        <v>300</v>
      </c>
      <c r="C53" s="103" t="s">
        <v>93</v>
      </c>
      <c r="D53" s="98">
        <v>3</v>
      </c>
      <c r="E53" s="98">
        <v>5</v>
      </c>
      <c r="F53" s="98">
        <v>125</v>
      </c>
      <c r="G53" s="98">
        <v>2</v>
      </c>
      <c r="H53" s="98">
        <v>2</v>
      </c>
      <c r="I53" s="98">
        <v>0</v>
      </c>
      <c r="J53" s="98">
        <f t="shared" si="0"/>
        <v>4</v>
      </c>
      <c r="K53" s="98" t="str">
        <f>B51</f>
        <v>CVL411</v>
      </c>
      <c r="L53" s="98">
        <v>0</v>
      </c>
      <c r="M53" s="98">
        <v>0</v>
      </c>
      <c r="N53" s="98">
        <v>0</v>
      </c>
      <c r="O53" s="98">
        <v>0</v>
      </c>
      <c r="P53" s="98">
        <v>1</v>
      </c>
      <c r="Q53" s="98">
        <v>0</v>
      </c>
    </row>
    <row r="54" spans="2:17" x14ac:dyDescent="0.3">
      <c r="B54" s="101" t="s">
        <v>301</v>
      </c>
      <c r="C54" s="101" t="s">
        <v>78</v>
      </c>
      <c r="D54" s="98">
        <v>3</v>
      </c>
      <c r="E54" s="98">
        <v>5</v>
      </c>
      <c r="F54" s="98">
        <v>125</v>
      </c>
      <c r="G54" s="98">
        <v>2</v>
      </c>
      <c r="H54" s="98">
        <v>2</v>
      </c>
      <c r="I54" s="98">
        <v>0</v>
      </c>
      <c r="J54" s="98">
        <f t="shared" si="0"/>
        <v>4</v>
      </c>
      <c r="K54" s="104" t="str">
        <f>B41</f>
        <v>CVL321</v>
      </c>
      <c r="L54" s="102">
        <v>0</v>
      </c>
      <c r="M54" s="102">
        <v>0</v>
      </c>
      <c r="N54" s="102">
        <v>0</v>
      </c>
      <c r="O54" s="102">
        <v>0</v>
      </c>
      <c r="P54" s="102">
        <v>1</v>
      </c>
      <c r="Q54" s="98">
        <v>0</v>
      </c>
    </row>
    <row r="55" spans="2:17" x14ac:dyDescent="0.3">
      <c r="B55" s="101" t="s">
        <v>302</v>
      </c>
      <c r="C55" s="101" t="s">
        <v>79</v>
      </c>
      <c r="D55" s="98">
        <v>3</v>
      </c>
      <c r="E55" s="98">
        <v>5</v>
      </c>
      <c r="F55" s="98">
        <v>125</v>
      </c>
      <c r="G55" s="98">
        <v>2</v>
      </c>
      <c r="H55" s="98">
        <v>2</v>
      </c>
      <c r="I55" s="98">
        <v>0</v>
      </c>
      <c r="J55" s="98">
        <f t="shared" si="0"/>
        <v>4</v>
      </c>
      <c r="K55" s="98" t="s">
        <v>80</v>
      </c>
      <c r="L55" s="98">
        <v>0</v>
      </c>
      <c r="M55" s="98">
        <v>0</v>
      </c>
      <c r="N55" s="98">
        <v>0</v>
      </c>
      <c r="O55" s="98">
        <v>0</v>
      </c>
      <c r="P55" s="98">
        <v>1</v>
      </c>
      <c r="Q55" s="99">
        <v>1</v>
      </c>
    </row>
    <row r="56" spans="2:17" x14ac:dyDescent="0.3">
      <c r="B56" s="101" t="s">
        <v>303</v>
      </c>
      <c r="C56" s="101" t="s">
        <v>59</v>
      </c>
      <c r="D56" s="98">
        <v>3</v>
      </c>
      <c r="E56" s="98">
        <v>5</v>
      </c>
      <c r="F56" s="98">
        <v>125</v>
      </c>
      <c r="G56" s="98">
        <v>2</v>
      </c>
      <c r="H56" s="98">
        <v>2</v>
      </c>
      <c r="I56" s="98">
        <v>0</v>
      </c>
      <c r="J56" s="98">
        <f t="shared" si="0"/>
        <v>4</v>
      </c>
      <c r="K56" s="100" t="str">
        <f>B42</f>
        <v>CVL331</v>
      </c>
      <c r="L56" s="102">
        <v>0</v>
      </c>
      <c r="M56" s="102">
        <v>0</v>
      </c>
      <c r="N56" s="102">
        <v>0</v>
      </c>
      <c r="O56" s="102">
        <v>0</v>
      </c>
      <c r="P56" s="102">
        <v>1</v>
      </c>
      <c r="Q56" s="100">
        <v>0</v>
      </c>
    </row>
    <row r="57" spans="2:17" x14ac:dyDescent="0.3">
      <c r="B57" s="55" t="s">
        <v>304</v>
      </c>
      <c r="C57" s="55" t="s">
        <v>60</v>
      </c>
      <c r="D57" s="64">
        <v>3</v>
      </c>
      <c r="E57" s="64">
        <v>5</v>
      </c>
      <c r="F57" s="64">
        <v>125</v>
      </c>
      <c r="G57" s="64">
        <v>2</v>
      </c>
      <c r="H57" s="64">
        <v>2</v>
      </c>
      <c r="I57" s="64">
        <v>0</v>
      </c>
      <c r="J57" s="64">
        <f t="shared" si="0"/>
        <v>4</v>
      </c>
      <c r="K57" s="66" t="s">
        <v>80</v>
      </c>
      <c r="L57" s="65">
        <v>0</v>
      </c>
      <c r="M57" s="65">
        <v>0</v>
      </c>
      <c r="N57" s="65">
        <v>0</v>
      </c>
      <c r="O57" s="65">
        <v>0</v>
      </c>
      <c r="P57" s="65">
        <v>1</v>
      </c>
      <c r="Q57" s="63">
        <v>0</v>
      </c>
    </row>
    <row r="58" spans="2:17" x14ac:dyDescent="0.3">
      <c r="B58" s="55" t="s">
        <v>305</v>
      </c>
      <c r="C58" s="55" t="s">
        <v>67</v>
      </c>
      <c r="D58" s="64">
        <v>3</v>
      </c>
      <c r="E58" s="64">
        <v>5</v>
      </c>
      <c r="F58" s="64">
        <v>125</v>
      </c>
      <c r="G58" s="64">
        <v>2</v>
      </c>
      <c r="H58" s="64">
        <v>2</v>
      </c>
      <c r="I58" s="64">
        <v>0</v>
      </c>
      <c r="J58" s="64">
        <f t="shared" si="0"/>
        <v>4</v>
      </c>
      <c r="K58" s="63" t="str">
        <f>B56</f>
        <v>CVL431</v>
      </c>
      <c r="L58" s="65">
        <v>0</v>
      </c>
      <c r="M58" s="65">
        <v>0</v>
      </c>
      <c r="N58" s="65">
        <v>0</v>
      </c>
      <c r="O58" s="65">
        <v>0</v>
      </c>
      <c r="P58" s="65">
        <v>1</v>
      </c>
      <c r="Q58" s="63">
        <v>0</v>
      </c>
    </row>
    <row r="59" spans="2:17" x14ac:dyDescent="0.3">
      <c r="B59" s="55" t="s">
        <v>306</v>
      </c>
      <c r="C59" s="55" t="s">
        <v>68</v>
      </c>
      <c r="D59" s="64">
        <v>3</v>
      </c>
      <c r="E59" s="64">
        <v>5</v>
      </c>
      <c r="F59" s="64">
        <v>125</v>
      </c>
      <c r="G59" s="64">
        <v>2</v>
      </c>
      <c r="H59" s="64">
        <v>2</v>
      </c>
      <c r="I59" s="64">
        <v>0</v>
      </c>
      <c r="J59" s="64">
        <f t="shared" si="0"/>
        <v>4</v>
      </c>
      <c r="K59" s="66" t="str">
        <f>B57</f>
        <v>CVL432</v>
      </c>
      <c r="L59" s="65">
        <v>0</v>
      </c>
      <c r="M59" s="65">
        <v>0</v>
      </c>
      <c r="N59" s="65">
        <v>0</v>
      </c>
      <c r="O59" s="65">
        <v>0</v>
      </c>
      <c r="P59" s="65">
        <v>1</v>
      </c>
      <c r="Q59" s="63">
        <v>0</v>
      </c>
    </row>
    <row r="60" spans="2:17" x14ac:dyDescent="0.3">
      <c r="B60" s="55" t="s">
        <v>307</v>
      </c>
      <c r="C60" s="55" t="s">
        <v>69</v>
      </c>
      <c r="D60" s="64">
        <v>3</v>
      </c>
      <c r="E60" s="64">
        <v>5</v>
      </c>
      <c r="F60" s="64">
        <v>125</v>
      </c>
      <c r="G60" s="64">
        <v>2</v>
      </c>
      <c r="H60" s="64">
        <v>2</v>
      </c>
      <c r="I60" s="64">
        <v>0</v>
      </c>
      <c r="J60" s="64">
        <f t="shared" si="0"/>
        <v>4</v>
      </c>
      <c r="K60" s="64" t="s">
        <v>80</v>
      </c>
      <c r="L60" s="64">
        <v>0</v>
      </c>
      <c r="M60" s="64">
        <v>0</v>
      </c>
      <c r="N60" s="64">
        <v>0</v>
      </c>
      <c r="O60" s="64">
        <v>0</v>
      </c>
      <c r="P60" s="98">
        <v>1</v>
      </c>
      <c r="Q60" s="99">
        <v>1</v>
      </c>
    </row>
    <row r="61" spans="2:17" x14ac:dyDescent="0.3">
      <c r="B61" s="55" t="s">
        <v>308</v>
      </c>
      <c r="C61" s="55" t="s">
        <v>64</v>
      </c>
      <c r="D61" s="64">
        <v>3</v>
      </c>
      <c r="E61" s="64">
        <v>5</v>
      </c>
      <c r="F61" s="64">
        <v>125</v>
      </c>
      <c r="G61" s="64">
        <v>2</v>
      </c>
      <c r="H61" s="64">
        <v>2</v>
      </c>
      <c r="I61" s="64">
        <v>0</v>
      </c>
      <c r="J61" s="64">
        <f t="shared" si="0"/>
        <v>4</v>
      </c>
      <c r="K61" s="64" t="s">
        <v>80</v>
      </c>
      <c r="L61" s="64">
        <v>0</v>
      </c>
      <c r="M61" s="64">
        <v>0</v>
      </c>
      <c r="N61" s="64">
        <v>0</v>
      </c>
      <c r="O61" s="64">
        <v>0</v>
      </c>
      <c r="P61" s="98">
        <v>1</v>
      </c>
      <c r="Q61" s="99">
        <v>1</v>
      </c>
    </row>
    <row r="62" spans="2:17" x14ac:dyDescent="0.3">
      <c r="B62" s="55" t="s">
        <v>309</v>
      </c>
      <c r="C62" s="55" t="s">
        <v>66</v>
      </c>
      <c r="D62" s="64">
        <v>3</v>
      </c>
      <c r="E62" s="64">
        <v>5</v>
      </c>
      <c r="F62" s="64">
        <v>125</v>
      </c>
      <c r="G62" s="64">
        <v>1</v>
      </c>
      <c r="H62" s="64">
        <v>2</v>
      </c>
      <c r="I62" s="64">
        <v>2</v>
      </c>
      <c r="J62" s="64">
        <f t="shared" si="0"/>
        <v>5</v>
      </c>
      <c r="K62" s="64" t="s">
        <v>80</v>
      </c>
      <c r="L62" s="64">
        <v>0</v>
      </c>
      <c r="M62" s="64">
        <v>0</v>
      </c>
      <c r="N62" s="64">
        <v>0</v>
      </c>
      <c r="O62" s="64">
        <v>0</v>
      </c>
      <c r="P62" s="98">
        <v>1</v>
      </c>
      <c r="Q62" s="99">
        <v>1</v>
      </c>
    </row>
    <row r="63" spans="2:17" x14ac:dyDescent="0.3">
      <c r="B63" s="105" t="s">
        <v>310</v>
      </c>
      <c r="C63" s="105" t="s">
        <v>50</v>
      </c>
      <c r="D63" s="106">
        <v>3</v>
      </c>
      <c r="E63" s="96">
        <v>5</v>
      </c>
      <c r="F63" s="96">
        <v>125</v>
      </c>
      <c r="G63" s="96">
        <v>2</v>
      </c>
      <c r="H63" s="96">
        <v>1</v>
      </c>
      <c r="I63" s="96">
        <v>1</v>
      </c>
      <c r="J63" s="96">
        <f t="shared" si="0"/>
        <v>4</v>
      </c>
      <c r="K63" s="107" t="str">
        <f>B46</f>
        <v>CVL341</v>
      </c>
      <c r="L63" s="108">
        <v>0</v>
      </c>
      <c r="M63" s="108">
        <v>0</v>
      </c>
      <c r="N63" s="108">
        <v>0</v>
      </c>
      <c r="O63" s="108">
        <v>1</v>
      </c>
      <c r="P63" s="108">
        <v>0</v>
      </c>
      <c r="Q63" s="107">
        <v>0</v>
      </c>
    </row>
    <row r="64" spans="2:17" x14ac:dyDescent="0.3">
      <c r="B64" s="105" t="s">
        <v>311</v>
      </c>
      <c r="C64" s="105" t="s">
        <v>56</v>
      </c>
      <c r="D64" s="106">
        <v>3</v>
      </c>
      <c r="E64" s="96">
        <v>5</v>
      </c>
      <c r="F64" s="96">
        <v>125</v>
      </c>
      <c r="G64" s="96">
        <v>2</v>
      </c>
      <c r="H64" s="96">
        <v>1</v>
      </c>
      <c r="I64" s="96">
        <v>1</v>
      </c>
      <c r="J64" s="96">
        <f t="shared" si="0"/>
        <v>4</v>
      </c>
      <c r="K64" s="109" t="s">
        <v>80</v>
      </c>
      <c r="L64" s="108">
        <v>0</v>
      </c>
      <c r="M64" s="108">
        <v>0</v>
      </c>
      <c r="N64" s="108">
        <v>0</v>
      </c>
      <c r="O64" s="108">
        <v>1</v>
      </c>
      <c r="P64" s="108">
        <v>0</v>
      </c>
      <c r="Q64" s="107">
        <v>0</v>
      </c>
    </row>
    <row r="65" spans="2:17" x14ac:dyDescent="0.3">
      <c r="B65" s="101" t="s">
        <v>312</v>
      </c>
      <c r="C65" s="101" t="s">
        <v>75</v>
      </c>
      <c r="D65" s="98">
        <v>3</v>
      </c>
      <c r="E65" s="98">
        <v>5</v>
      </c>
      <c r="F65" s="98">
        <v>125</v>
      </c>
      <c r="G65" s="98">
        <v>2</v>
      </c>
      <c r="H65" s="98">
        <v>2</v>
      </c>
      <c r="I65" s="98">
        <v>0</v>
      </c>
      <c r="J65" s="98">
        <f t="shared" si="0"/>
        <v>4</v>
      </c>
      <c r="K65" s="98" t="s">
        <v>80</v>
      </c>
      <c r="L65" s="98">
        <v>0</v>
      </c>
      <c r="M65" s="98">
        <v>0</v>
      </c>
      <c r="N65" s="98">
        <v>0</v>
      </c>
      <c r="O65" s="98">
        <v>0</v>
      </c>
      <c r="P65" s="98">
        <v>1</v>
      </c>
      <c r="Q65" s="100">
        <v>0</v>
      </c>
    </row>
    <row r="66" spans="2:17" x14ac:dyDescent="0.3">
      <c r="B66" s="55" t="s">
        <v>313</v>
      </c>
      <c r="C66" s="55" t="s">
        <v>126</v>
      </c>
      <c r="D66" s="98">
        <v>3</v>
      </c>
      <c r="E66" s="98">
        <v>5</v>
      </c>
      <c r="F66" s="98">
        <v>125</v>
      </c>
      <c r="G66" s="98">
        <v>2</v>
      </c>
      <c r="H66" s="98">
        <v>2</v>
      </c>
      <c r="I66" s="98">
        <v>0</v>
      </c>
      <c r="J66" s="98">
        <f t="shared" si="0"/>
        <v>4</v>
      </c>
      <c r="K66" s="98" t="s">
        <v>80</v>
      </c>
      <c r="L66" s="98">
        <v>0</v>
      </c>
      <c r="M66" s="98">
        <v>0</v>
      </c>
      <c r="N66" s="98">
        <v>0</v>
      </c>
      <c r="O66" s="98">
        <v>0</v>
      </c>
      <c r="P66" s="98">
        <v>1</v>
      </c>
      <c r="Q66" s="99">
        <v>1</v>
      </c>
    </row>
    <row r="67" spans="2:17" x14ac:dyDescent="0.3">
      <c r="B67" s="55" t="s">
        <v>314</v>
      </c>
      <c r="C67" s="55" t="s">
        <v>91</v>
      </c>
      <c r="D67" s="64">
        <v>3</v>
      </c>
      <c r="E67" s="64">
        <v>5</v>
      </c>
      <c r="F67" s="64">
        <v>125</v>
      </c>
      <c r="G67" s="64">
        <v>1</v>
      </c>
      <c r="H67" s="64">
        <v>2</v>
      </c>
      <c r="I67" s="64">
        <v>2</v>
      </c>
      <c r="J67" s="64">
        <f>G67+(H67+I67)</f>
        <v>5</v>
      </c>
      <c r="K67" s="64" t="str">
        <f>B34</f>
        <v>CVL281</v>
      </c>
      <c r="L67" s="64">
        <v>0</v>
      </c>
      <c r="M67" s="64">
        <v>0</v>
      </c>
      <c r="N67" s="64">
        <v>0</v>
      </c>
      <c r="O67" s="64">
        <v>0</v>
      </c>
      <c r="P67" s="64">
        <v>1</v>
      </c>
      <c r="Q67" s="99">
        <v>1</v>
      </c>
    </row>
    <row r="68" spans="2:17" x14ac:dyDescent="0.3">
      <c r="B68" s="105" t="s">
        <v>315</v>
      </c>
      <c r="C68" s="105" t="s">
        <v>71</v>
      </c>
      <c r="D68" s="106">
        <v>3</v>
      </c>
      <c r="E68" s="106">
        <v>5</v>
      </c>
      <c r="F68" s="106">
        <v>125</v>
      </c>
      <c r="G68" s="106">
        <v>1</v>
      </c>
      <c r="H68" s="106">
        <v>0</v>
      </c>
      <c r="I68" s="106">
        <v>4</v>
      </c>
      <c r="J68" s="106">
        <f t="shared" si="0"/>
        <v>5</v>
      </c>
      <c r="K68" s="109" t="s">
        <v>80</v>
      </c>
      <c r="L68" s="108">
        <v>0</v>
      </c>
      <c r="M68" s="108">
        <v>0</v>
      </c>
      <c r="N68" s="108">
        <v>0</v>
      </c>
      <c r="O68" s="108">
        <v>1</v>
      </c>
      <c r="P68" s="108">
        <v>0</v>
      </c>
      <c r="Q68" s="107">
        <v>0</v>
      </c>
    </row>
    <row r="69" spans="2:17" x14ac:dyDescent="0.3">
      <c r="B69" s="52" t="s">
        <v>316</v>
      </c>
      <c r="C69" s="52" t="s">
        <v>70</v>
      </c>
      <c r="D69" s="61">
        <v>3</v>
      </c>
      <c r="E69" s="61">
        <v>5</v>
      </c>
      <c r="F69" s="61">
        <v>125</v>
      </c>
      <c r="G69" s="61">
        <v>1</v>
      </c>
      <c r="H69" s="61">
        <v>0</v>
      </c>
      <c r="I69" s="61">
        <v>4</v>
      </c>
      <c r="J69" s="61">
        <f t="shared" si="0"/>
        <v>5</v>
      </c>
      <c r="K69" s="60" t="s">
        <v>317</v>
      </c>
      <c r="L69" s="59">
        <v>0</v>
      </c>
      <c r="M69" s="59">
        <v>0</v>
      </c>
      <c r="N69" s="59">
        <v>0</v>
      </c>
      <c r="O69" s="59">
        <v>1</v>
      </c>
      <c r="P69" s="59">
        <v>0</v>
      </c>
      <c r="Q69" s="54">
        <v>0</v>
      </c>
    </row>
    <row r="70" spans="2:17" x14ac:dyDescent="0.3">
      <c r="B70" s="55" t="s">
        <v>245</v>
      </c>
      <c r="C70" s="55" t="s">
        <v>90</v>
      </c>
      <c r="D70" s="98">
        <v>3</v>
      </c>
      <c r="E70" s="98">
        <v>5</v>
      </c>
      <c r="F70" s="98">
        <v>125</v>
      </c>
      <c r="G70" s="98">
        <v>2</v>
      </c>
      <c r="H70" s="98">
        <v>2</v>
      </c>
      <c r="I70" s="98">
        <v>0</v>
      </c>
      <c r="J70" s="98">
        <f>G70+(H70+I70)</f>
        <v>4</v>
      </c>
      <c r="K70" s="98" t="str">
        <f>B13</f>
        <v>MTH214</v>
      </c>
      <c r="L70" s="98">
        <v>0</v>
      </c>
      <c r="M70" s="98">
        <v>0</v>
      </c>
      <c r="N70" s="98">
        <v>0</v>
      </c>
      <c r="O70" s="98">
        <v>0</v>
      </c>
      <c r="P70" s="98">
        <v>1</v>
      </c>
      <c r="Q70" s="110">
        <v>1</v>
      </c>
    </row>
    <row r="71" spans="2:17" x14ac:dyDescent="0.3">
      <c r="B71" s="283" t="s">
        <v>381</v>
      </c>
      <c r="C71" s="283" t="s">
        <v>383</v>
      </c>
      <c r="D71" s="98">
        <v>3</v>
      </c>
      <c r="E71" s="98">
        <v>5</v>
      </c>
      <c r="F71" s="98">
        <v>125</v>
      </c>
      <c r="G71" s="98">
        <v>2</v>
      </c>
      <c r="H71" s="284">
        <v>2</v>
      </c>
      <c r="I71" s="284">
        <v>0</v>
      </c>
      <c r="J71" s="98">
        <f t="shared" si="0"/>
        <v>4</v>
      </c>
      <c r="K71" s="286" t="s">
        <v>395</v>
      </c>
      <c r="L71" s="98">
        <v>0</v>
      </c>
      <c r="M71" s="98">
        <v>0</v>
      </c>
      <c r="N71" s="98">
        <v>0</v>
      </c>
      <c r="O71" s="98">
        <v>0</v>
      </c>
      <c r="P71" s="98">
        <v>1</v>
      </c>
      <c r="Q71" s="111">
        <v>1</v>
      </c>
    </row>
    <row r="72" spans="2:17" x14ac:dyDescent="0.3">
      <c r="B72" s="55" t="s">
        <v>318</v>
      </c>
      <c r="C72" s="55" t="s">
        <v>116</v>
      </c>
      <c r="D72" s="98">
        <v>3</v>
      </c>
      <c r="E72" s="98">
        <v>5</v>
      </c>
      <c r="F72" s="98">
        <v>125</v>
      </c>
      <c r="G72" s="98">
        <v>2</v>
      </c>
      <c r="H72" s="98">
        <v>1</v>
      </c>
      <c r="I72" s="98">
        <v>1</v>
      </c>
      <c r="J72" s="98">
        <f t="shared" ref="J72:J74" si="2">G72+(H72+I72)</f>
        <v>4</v>
      </c>
      <c r="K72" s="98" t="s">
        <v>395</v>
      </c>
      <c r="L72" s="98">
        <v>0</v>
      </c>
      <c r="M72" s="98">
        <v>0</v>
      </c>
      <c r="N72" s="98">
        <v>0</v>
      </c>
      <c r="O72" s="98">
        <v>0</v>
      </c>
      <c r="P72" s="98">
        <v>1</v>
      </c>
      <c r="Q72" s="111">
        <v>1</v>
      </c>
    </row>
    <row r="73" spans="2:17" x14ac:dyDescent="0.3">
      <c r="B73" s="55" t="s">
        <v>319</v>
      </c>
      <c r="C73" s="55" t="s">
        <v>117</v>
      </c>
      <c r="D73" s="98">
        <v>3</v>
      </c>
      <c r="E73" s="98">
        <v>5</v>
      </c>
      <c r="F73" s="98">
        <v>125</v>
      </c>
      <c r="G73" s="98">
        <v>2</v>
      </c>
      <c r="H73" s="98">
        <v>1</v>
      </c>
      <c r="I73" s="98">
        <v>1</v>
      </c>
      <c r="J73" s="98">
        <f t="shared" si="2"/>
        <v>4</v>
      </c>
      <c r="K73" s="98" t="s">
        <v>395</v>
      </c>
      <c r="L73" s="98">
        <v>0</v>
      </c>
      <c r="M73" s="98">
        <v>0</v>
      </c>
      <c r="N73" s="98">
        <v>0</v>
      </c>
      <c r="O73" s="98">
        <v>0</v>
      </c>
      <c r="P73" s="98">
        <v>1</v>
      </c>
      <c r="Q73" s="57">
        <v>1</v>
      </c>
    </row>
    <row r="74" spans="2:17" x14ac:dyDescent="0.3">
      <c r="B74" s="55" t="s">
        <v>320</v>
      </c>
      <c r="C74" s="55" t="s">
        <v>118</v>
      </c>
      <c r="D74" s="98">
        <v>3</v>
      </c>
      <c r="E74" s="98">
        <v>5</v>
      </c>
      <c r="F74" s="98">
        <v>125</v>
      </c>
      <c r="G74" s="98">
        <v>2</v>
      </c>
      <c r="H74" s="98">
        <v>1</v>
      </c>
      <c r="I74" s="98">
        <v>1</v>
      </c>
      <c r="J74" s="98">
        <f t="shared" si="2"/>
        <v>4</v>
      </c>
      <c r="K74" s="98" t="s">
        <v>395</v>
      </c>
      <c r="L74" s="98">
        <v>0</v>
      </c>
      <c r="M74" s="98">
        <v>0</v>
      </c>
      <c r="N74" s="98">
        <v>0</v>
      </c>
      <c r="O74" s="98">
        <v>0</v>
      </c>
      <c r="P74" s="98">
        <v>1</v>
      </c>
      <c r="Q74" s="57">
        <v>1</v>
      </c>
    </row>
    <row r="75" spans="2:17" x14ac:dyDescent="0.3">
      <c r="B75" s="55" t="s">
        <v>321</v>
      </c>
      <c r="C75" s="55" t="s">
        <v>119</v>
      </c>
      <c r="D75" s="98">
        <v>3</v>
      </c>
      <c r="E75" s="98">
        <v>5</v>
      </c>
      <c r="F75" s="98">
        <v>125</v>
      </c>
      <c r="G75" s="98">
        <v>2</v>
      </c>
      <c r="H75" s="98">
        <v>1</v>
      </c>
      <c r="I75" s="98">
        <v>1</v>
      </c>
      <c r="J75" s="98">
        <f t="shared" ref="J75" si="3">G75+(H75+I75)</f>
        <v>4</v>
      </c>
      <c r="K75" s="98" t="s">
        <v>395</v>
      </c>
      <c r="L75" s="98">
        <v>0</v>
      </c>
      <c r="M75" s="98">
        <v>0</v>
      </c>
      <c r="N75" s="98">
        <v>0</v>
      </c>
      <c r="O75" s="98">
        <v>0</v>
      </c>
      <c r="P75" s="98">
        <v>1</v>
      </c>
      <c r="Q75" s="57">
        <v>1</v>
      </c>
    </row>
  </sheetData>
  <mergeCells count="12">
    <mergeCell ref="Q2:Q3"/>
    <mergeCell ref="B1:Q1"/>
    <mergeCell ref="B2:B3"/>
    <mergeCell ref="C2:C3"/>
    <mergeCell ref="D2:F2"/>
    <mergeCell ref="G2:J2"/>
    <mergeCell ref="M2:M3"/>
    <mergeCell ref="N2:N3"/>
    <mergeCell ref="O2:O3"/>
    <mergeCell ref="P2:P3"/>
    <mergeCell ref="K2:K3"/>
    <mergeCell ref="L2:L3"/>
  </mergeCells>
  <phoneticPr fontId="10" type="noConversion"/>
  <conditionalFormatting sqref="B65 B52 B47 B38 B54">
    <cfRule type="duplicateValues" dxfId="77" priority="14"/>
  </conditionalFormatting>
  <conditionalFormatting sqref="B53:C53">
    <cfRule type="duplicateValues" dxfId="76" priority="1"/>
  </conditionalFormatting>
  <pageMargins left="0.16" right="0.16" top="1.07" bottom="0.16" header="0.16" footer="0.16"/>
  <pageSetup paperSize="9" scale="70" orientation="portrait" r:id="rId1"/>
  <ignoredErrors>
    <ignoredError sqref="K53" formula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B6C65-B8B7-407F-9575-4607EDA68A63}">
  <sheetPr>
    <tabColor rgb="FF00B0F0"/>
    <pageSetUpPr fitToPage="1"/>
  </sheetPr>
  <dimension ref="A1:U67"/>
  <sheetViews>
    <sheetView zoomScale="40" zoomScaleNormal="40" workbookViewId="0">
      <selection activeCell="N38" sqref="N38"/>
    </sheetView>
  </sheetViews>
  <sheetFormatPr defaultRowHeight="13.2" x14ac:dyDescent="0.25"/>
  <cols>
    <col min="1" max="1" width="12.44140625" style="156" customWidth="1"/>
    <col min="2" max="2" width="12.77734375" style="155" customWidth="1"/>
    <col min="3" max="3" width="10.6640625" style="156" bestFit="1" customWidth="1"/>
    <col min="4" max="4" width="48.5546875" style="155" bestFit="1" customWidth="1"/>
    <col min="5" max="7" width="6.44140625" style="156" customWidth="1"/>
    <col min="8" max="8" width="17.21875" style="156" customWidth="1"/>
    <col min="9" max="14" width="15.77734375" style="156" customWidth="1"/>
    <col min="15" max="15" width="19.77734375" style="156" customWidth="1"/>
    <col min="16" max="16" width="19.33203125" style="155" customWidth="1"/>
    <col min="17" max="17" width="19.5546875" style="155" customWidth="1"/>
    <col min="18" max="18" width="20.88671875" style="155" customWidth="1"/>
    <col min="19" max="19" width="20" style="155" customWidth="1"/>
    <col min="20" max="20" width="19.33203125" style="155" customWidth="1"/>
    <col min="21" max="21" width="15.77734375" style="155" customWidth="1"/>
    <col min="22" max="16384" width="8.88671875" style="155"/>
  </cols>
  <sheetData>
    <row r="1" spans="1:21" ht="14.4" customHeight="1" thickBot="1" x14ac:dyDescent="0.3">
      <c r="A1" s="193"/>
      <c r="B1" s="166"/>
    </row>
    <row r="2" spans="1:21" ht="15" customHeight="1" x14ac:dyDescent="0.25">
      <c r="A2" s="234" t="s">
        <v>250</v>
      </c>
      <c r="B2" s="242" t="s">
        <v>251</v>
      </c>
      <c r="C2" s="234" t="s">
        <v>17</v>
      </c>
      <c r="D2" s="242" t="s">
        <v>252</v>
      </c>
      <c r="E2" s="249" t="s">
        <v>6</v>
      </c>
      <c r="F2" s="249" t="s">
        <v>7</v>
      </c>
      <c r="G2" s="249" t="s">
        <v>8</v>
      </c>
      <c r="H2" s="249" t="s">
        <v>260</v>
      </c>
      <c r="I2" s="236" t="s">
        <v>253</v>
      </c>
      <c r="J2" s="235" t="s">
        <v>254</v>
      </c>
      <c r="K2" s="235" t="s">
        <v>258</v>
      </c>
      <c r="L2" s="235" t="s">
        <v>255</v>
      </c>
      <c r="M2" s="235" t="s">
        <v>256</v>
      </c>
      <c r="N2" s="235" t="s">
        <v>257</v>
      </c>
      <c r="O2" s="273" t="s">
        <v>127</v>
      </c>
      <c r="P2" s="274" t="s">
        <v>128</v>
      </c>
      <c r="Q2" s="274" t="s">
        <v>129</v>
      </c>
      <c r="R2" s="274" t="s">
        <v>247</v>
      </c>
      <c r="S2" s="274" t="s">
        <v>248</v>
      </c>
      <c r="T2" s="274" t="s">
        <v>130</v>
      </c>
      <c r="U2" s="274" t="s">
        <v>249</v>
      </c>
    </row>
    <row r="3" spans="1:21" ht="13.8" x14ac:dyDescent="0.25">
      <c r="A3" s="178">
        <v>1</v>
      </c>
      <c r="B3" s="178">
        <v>1</v>
      </c>
      <c r="C3" s="237" t="s">
        <v>178</v>
      </c>
      <c r="D3" s="177" t="s">
        <v>24</v>
      </c>
      <c r="E3" s="251"/>
      <c r="F3" s="146"/>
      <c r="G3" s="146"/>
      <c r="H3" s="255" t="s">
        <v>259</v>
      </c>
      <c r="I3" s="237">
        <v>0</v>
      </c>
      <c r="J3" s="178"/>
      <c r="K3" s="178"/>
      <c r="L3" s="178"/>
      <c r="M3" s="178"/>
      <c r="N3" s="178"/>
      <c r="O3" s="237">
        <v>0</v>
      </c>
      <c r="P3" s="230"/>
      <c r="Q3" s="230"/>
      <c r="R3" s="230"/>
      <c r="S3" s="230"/>
      <c r="T3" s="230"/>
      <c r="U3" s="230"/>
    </row>
    <row r="4" spans="1:21" ht="13.8" x14ac:dyDescent="0.25">
      <c r="A4" s="178">
        <v>1</v>
      </c>
      <c r="B4" s="178">
        <v>2</v>
      </c>
      <c r="C4" s="237" t="s">
        <v>179</v>
      </c>
      <c r="D4" s="177" t="s">
        <v>25</v>
      </c>
      <c r="E4" s="251"/>
      <c r="F4" s="146"/>
      <c r="G4" s="146"/>
      <c r="H4" s="256" t="s">
        <v>84</v>
      </c>
      <c r="I4" s="237">
        <v>0</v>
      </c>
      <c r="J4" s="178"/>
      <c r="K4" s="178"/>
      <c r="L4" s="178"/>
      <c r="M4" s="178"/>
      <c r="N4" s="178"/>
      <c r="O4" s="237">
        <v>0</v>
      </c>
      <c r="P4" s="230"/>
      <c r="Q4" s="230"/>
      <c r="R4" s="230"/>
      <c r="S4" s="230"/>
      <c r="T4" s="230"/>
      <c r="U4" s="230"/>
    </row>
    <row r="5" spans="1:21" ht="13.8" x14ac:dyDescent="0.25">
      <c r="A5" s="178">
        <v>2</v>
      </c>
      <c r="B5" s="178">
        <v>3</v>
      </c>
      <c r="C5" s="237" t="s">
        <v>180</v>
      </c>
      <c r="D5" s="177" t="s">
        <v>35</v>
      </c>
      <c r="E5" s="251">
        <v>3</v>
      </c>
      <c r="F5" s="146">
        <v>0</v>
      </c>
      <c r="G5" s="146">
        <v>0</v>
      </c>
      <c r="H5" s="256" t="s">
        <v>85</v>
      </c>
      <c r="I5" s="237">
        <v>3</v>
      </c>
      <c r="J5" s="178"/>
      <c r="K5" s="178"/>
      <c r="L5" s="178"/>
      <c r="M5" s="178"/>
      <c r="N5" s="178"/>
      <c r="O5" s="237">
        <v>3</v>
      </c>
      <c r="P5" s="230"/>
      <c r="Q5" s="230"/>
      <c r="R5" s="230"/>
      <c r="S5" s="230"/>
      <c r="T5" s="230"/>
      <c r="U5" s="230"/>
    </row>
    <row r="6" spans="1:21" ht="13.8" x14ac:dyDescent="0.25">
      <c r="A6" s="178">
        <v>2</v>
      </c>
      <c r="B6" s="178">
        <v>4</v>
      </c>
      <c r="C6" s="237" t="s">
        <v>181</v>
      </c>
      <c r="D6" s="177" t="s">
        <v>36</v>
      </c>
      <c r="E6" s="251">
        <v>3</v>
      </c>
      <c r="F6" s="146">
        <v>0</v>
      </c>
      <c r="G6" s="146">
        <v>0</v>
      </c>
      <c r="H6" s="256" t="s">
        <v>85</v>
      </c>
      <c r="I6" s="237">
        <v>3</v>
      </c>
      <c r="J6" s="178"/>
      <c r="K6" s="178"/>
      <c r="L6" s="178"/>
      <c r="M6" s="178"/>
      <c r="N6" s="178"/>
      <c r="O6" s="237">
        <v>3</v>
      </c>
      <c r="P6" s="230"/>
      <c r="Q6" s="230"/>
      <c r="R6" s="230"/>
      <c r="S6" s="230"/>
      <c r="T6" s="230"/>
      <c r="U6" s="230"/>
    </row>
    <row r="7" spans="1:21" ht="14.4" x14ac:dyDescent="0.25">
      <c r="A7" s="178">
        <v>1</v>
      </c>
      <c r="B7" s="178">
        <v>1</v>
      </c>
      <c r="C7" s="237" t="s">
        <v>182</v>
      </c>
      <c r="D7" s="177" t="s">
        <v>104</v>
      </c>
      <c r="E7" s="251">
        <v>1</v>
      </c>
      <c r="F7" s="146">
        <v>2</v>
      </c>
      <c r="G7" s="146">
        <v>2</v>
      </c>
      <c r="H7" s="250"/>
      <c r="I7" s="237">
        <v>3</v>
      </c>
      <c r="J7" s="178"/>
      <c r="K7" s="178"/>
      <c r="L7" s="178"/>
      <c r="M7" s="178"/>
      <c r="N7" s="178"/>
      <c r="O7" s="238"/>
      <c r="P7" s="230"/>
      <c r="Q7" s="230"/>
      <c r="R7" s="178">
        <v>3</v>
      </c>
      <c r="S7" s="230"/>
      <c r="T7" s="230"/>
      <c r="U7" s="230"/>
    </row>
    <row r="8" spans="1:21" ht="14.4" x14ac:dyDescent="0.25">
      <c r="A8" s="178">
        <v>1</v>
      </c>
      <c r="B8" s="178">
        <v>2</v>
      </c>
      <c r="C8" s="237" t="s">
        <v>183</v>
      </c>
      <c r="D8" s="177" t="s">
        <v>121</v>
      </c>
      <c r="E8" s="251">
        <v>3</v>
      </c>
      <c r="F8" s="146">
        <v>0</v>
      </c>
      <c r="G8" s="146">
        <v>0</v>
      </c>
      <c r="H8" s="250"/>
      <c r="I8" s="237"/>
      <c r="J8" s="178">
        <v>3</v>
      </c>
      <c r="K8" s="178"/>
      <c r="L8" s="178"/>
      <c r="M8" s="178"/>
      <c r="N8" s="178"/>
      <c r="O8" s="237">
        <v>3</v>
      </c>
      <c r="P8" s="230"/>
      <c r="Q8" s="230"/>
      <c r="R8" s="230"/>
      <c r="S8" s="230"/>
      <c r="T8" s="230"/>
      <c r="U8" s="230"/>
    </row>
    <row r="9" spans="1:21" x14ac:dyDescent="0.25">
      <c r="A9" s="180">
        <v>1</v>
      </c>
      <c r="B9" s="180">
        <v>2</v>
      </c>
      <c r="C9" s="239" t="s">
        <v>184</v>
      </c>
      <c r="D9" s="179" t="s">
        <v>185</v>
      </c>
      <c r="E9" s="252">
        <v>2</v>
      </c>
      <c r="F9" s="188">
        <v>0</v>
      </c>
      <c r="G9" s="188">
        <v>2</v>
      </c>
      <c r="H9" s="180"/>
      <c r="I9" s="239"/>
      <c r="J9" s="180"/>
      <c r="K9" s="180">
        <v>3</v>
      </c>
      <c r="L9" s="180"/>
      <c r="M9" s="180"/>
      <c r="N9" s="180"/>
      <c r="O9" s="239"/>
      <c r="P9" s="180"/>
      <c r="Q9" s="180"/>
      <c r="R9" s="180">
        <v>3</v>
      </c>
      <c r="S9" s="180"/>
      <c r="T9" s="180"/>
      <c r="U9" s="180"/>
    </row>
    <row r="10" spans="1:21" x14ac:dyDescent="0.25">
      <c r="A10" s="180">
        <v>1</v>
      </c>
      <c r="B10" s="180">
        <v>1</v>
      </c>
      <c r="C10" s="239" t="s">
        <v>273</v>
      </c>
      <c r="D10" s="179" t="s">
        <v>97</v>
      </c>
      <c r="E10" s="252">
        <v>2</v>
      </c>
      <c r="F10" s="188">
        <v>2</v>
      </c>
      <c r="G10" s="188">
        <v>0</v>
      </c>
      <c r="H10" s="180"/>
      <c r="I10" s="239"/>
      <c r="J10" s="180">
        <v>3</v>
      </c>
      <c r="K10" s="180"/>
      <c r="L10" s="180"/>
      <c r="M10" s="180"/>
      <c r="N10" s="180"/>
      <c r="O10" s="239">
        <v>3</v>
      </c>
      <c r="P10" s="180"/>
      <c r="Q10" s="180"/>
      <c r="R10" s="180"/>
      <c r="S10" s="180"/>
      <c r="T10" s="180"/>
      <c r="U10" s="180"/>
    </row>
    <row r="11" spans="1:21" x14ac:dyDescent="0.25">
      <c r="A11" s="180">
        <v>1</v>
      </c>
      <c r="B11" s="180">
        <v>8</v>
      </c>
      <c r="C11" s="239" t="s">
        <v>357</v>
      </c>
      <c r="D11" s="179" t="s">
        <v>186</v>
      </c>
      <c r="E11" s="252">
        <v>2</v>
      </c>
      <c r="F11" s="188">
        <v>2</v>
      </c>
      <c r="G11" s="188">
        <v>0</v>
      </c>
      <c r="H11" s="180"/>
      <c r="I11" s="239"/>
      <c r="J11" s="180"/>
      <c r="K11" s="180">
        <v>3</v>
      </c>
      <c r="L11" s="180"/>
      <c r="M11" s="180"/>
      <c r="N11" s="180"/>
      <c r="O11" s="239">
        <v>3</v>
      </c>
      <c r="P11" s="180"/>
      <c r="Q11" s="180"/>
      <c r="R11" s="180"/>
      <c r="S11" s="180"/>
      <c r="T11" s="180"/>
      <c r="U11" s="180"/>
    </row>
    <row r="12" spans="1:21" x14ac:dyDescent="0.25">
      <c r="A12" s="180">
        <v>4</v>
      </c>
      <c r="B12" s="180">
        <v>8</v>
      </c>
      <c r="C12" s="239" t="s">
        <v>274</v>
      </c>
      <c r="D12" s="179" t="s">
        <v>120</v>
      </c>
      <c r="E12" s="252">
        <v>2</v>
      </c>
      <c r="F12" s="188">
        <v>2</v>
      </c>
      <c r="G12" s="188">
        <v>0</v>
      </c>
      <c r="H12" s="180"/>
      <c r="I12" s="239"/>
      <c r="J12" s="180">
        <v>3</v>
      </c>
      <c r="K12" s="180"/>
      <c r="L12" s="180"/>
      <c r="M12" s="180"/>
      <c r="N12" s="180"/>
      <c r="O12" s="239"/>
      <c r="P12" s="180"/>
      <c r="Q12" s="180"/>
      <c r="R12" s="180"/>
      <c r="S12" s="180">
        <v>3</v>
      </c>
      <c r="T12" s="180"/>
      <c r="U12" s="180"/>
    </row>
    <row r="13" spans="1:21" x14ac:dyDescent="0.25">
      <c r="A13" s="180">
        <v>1</v>
      </c>
      <c r="B13" s="180">
        <v>1</v>
      </c>
      <c r="C13" s="239" t="s">
        <v>349</v>
      </c>
      <c r="D13" s="179" t="s">
        <v>105</v>
      </c>
      <c r="E13" s="252">
        <v>2</v>
      </c>
      <c r="F13" s="188">
        <v>2</v>
      </c>
      <c r="G13" s="188">
        <v>0</v>
      </c>
      <c r="H13" s="180"/>
      <c r="I13" s="239"/>
      <c r="J13" s="180"/>
      <c r="K13" s="180">
        <v>3</v>
      </c>
      <c r="L13" s="180"/>
      <c r="M13" s="180"/>
      <c r="N13" s="180"/>
      <c r="O13" s="239"/>
      <c r="P13" s="180">
        <v>3</v>
      </c>
      <c r="Q13" s="180"/>
      <c r="R13" s="180"/>
      <c r="S13" s="180"/>
      <c r="T13" s="180"/>
      <c r="U13" s="180"/>
    </row>
    <row r="14" spans="1:21" x14ac:dyDescent="0.25">
      <c r="A14" s="180">
        <v>1</v>
      </c>
      <c r="B14" s="180">
        <v>2</v>
      </c>
      <c r="C14" s="239" t="s">
        <v>350</v>
      </c>
      <c r="D14" s="179" t="s">
        <v>187</v>
      </c>
      <c r="E14" s="252">
        <v>2</v>
      </c>
      <c r="F14" s="188">
        <v>2</v>
      </c>
      <c r="G14" s="188">
        <v>0</v>
      </c>
      <c r="H14" s="180"/>
      <c r="I14" s="239"/>
      <c r="J14" s="180"/>
      <c r="K14" s="180">
        <v>3</v>
      </c>
      <c r="L14" s="180"/>
      <c r="M14" s="180"/>
      <c r="N14" s="180"/>
      <c r="O14" s="239"/>
      <c r="P14" s="180">
        <v>3</v>
      </c>
      <c r="Q14" s="180"/>
      <c r="R14" s="180"/>
      <c r="S14" s="180"/>
      <c r="T14" s="180"/>
      <c r="U14" s="180"/>
    </row>
    <row r="15" spans="1:21" x14ac:dyDescent="0.25">
      <c r="A15" s="180">
        <v>2</v>
      </c>
      <c r="B15" s="180">
        <v>3</v>
      </c>
      <c r="C15" s="239" t="s">
        <v>351</v>
      </c>
      <c r="D15" s="179" t="s">
        <v>188</v>
      </c>
      <c r="E15" s="252">
        <v>2</v>
      </c>
      <c r="F15" s="188">
        <v>2</v>
      </c>
      <c r="G15" s="188">
        <v>0</v>
      </c>
      <c r="H15" s="180"/>
      <c r="I15" s="239"/>
      <c r="J15" s="180"/>
      <c r="K15" s="180">
        <v>3</v>
      </c>
      <c r="L15" s="180"/>
      <c r="M15" s="180"/>
      <c r="N15" s="180"/>
      <c r="O15" s="239"/>
      <c r="P15" s="180">
        <v>3</v>
      </c>
      <c r="Q15" s="180"/>
      <c r="R15" s="180"/>
      <c r="S15" s="180"/>
      <c r="T15" s="180"/>
      <c r="U15" s="180"/>
    </row>
    <row r="16" spans="1:21" x14ac:dyDescent="0.25">
      <c r="A16" s="180">
        <v>1</v>
      </c>
      <c r="B16" s="180">
        <v>1</v>
      </c>
      <c r="C16" s="239" t="s">
        <v>355</v>
      </c>
      <c r="D16" s="179" t="s">
        <v>189</v>
      </c>
      <c r="E16" s="252">
        <v>2</v>
      </c>
      <c r="F16" s="188">
        <v>2</v>
      </c>
      <c r="G16" s="188">
        <v>0</v>
      </c>
      <c r="H16" s="180"/>
      <c r="I16" s="239"/>
      <c r="J16" s="180"/>
      <c r="K16" s="180">
        <v>3</v>
      </c>
      <c r="L16" s="180"/>
      <c r="M16" s="180"/>
      <c r="N16" s="180"/>
      <c r="O16" s="239"/>
      <c r="P16" s="180">
        <v>3</v>
      </c>
      <c r="Q16" s="180"/>
      <c r="R16" s="180"/>
      <c r="S16" s="180"/>
      <c r="T16" s="180"/>
      <c r="U16" s="180"/>
    </row>
    <row r="17" spans="1:21" x14ac:dyDescent="0.25">
      <c r="A17" s="180">
        <v>1</v>
      </c>
      <c r="B17" s="180">
        <v>1</v>
      </c>
      <c r="C17" s="239" t="s">
        <v>358</v>
      </c>
      <c r="D17" s="179" t="s">
        <v>31</v>
      </c>
      <c r="E17" s="252">
        <v>2</v>
      </c>
      <c r="F17" s="188">
        <v>0</v>
      </c>
      <c r="G17" s="188">
        <v>2</v>
      </c>
      <c r="H17" s="180"/>
      <c r="I17" s="239"/>
      <c r="J17" s="180"/>
      <c r="K17" s="180">
        <v>3</v>
      </c>
      <c r="L17" s="180"/>
      <c r="M17" s="180"/>
      <c r="N17" s="180"/>
      <c r="O17" s="239"/>
      <c r="P17" s="180"/>
      <c r="Q17" s="180">
        <v>3</v>
      </c>
      <c r="R17" s="180"/>
      <c r="S17" s="180"/>
      <c r="T17" s="180"/>
      <c r="U17" s="180"/>
    </row>
    <row r="18" spans="1:21" x14ac:dyDescent="0.25">
      <c r="A18" s="180">
        <v>1</v>
      </c>
      <c r="B18" s="180">
        <v>1</v>
      </c>
      <c r="C18" s="239" t="s">
        <v>190</v>
      </c>
      <c r="D18" s="179" t="s">
        <v>29</v>
      </c>
      <c r="E18" s="252">
        <v>2</v>
      </c>
      <c r="F18" s="188">
        <v>2</v>
      </c>
      <c r="G18" s="188">
        <v>1</v>
      </c>
      <c r="H18" s="180"/>
      <c r="I18" s="239"/>
      <c r="J18" s="180"/>
      <c r="K18" s="180">
        <v>3</v>
      </c>
      <c r="L18" s="180"/>
      <c r="M18" s="180"/>
      <c r="N18" s="180"/>
      <c r="O18" s="239"/>
      <c r="P18" s="180">
        <v>3</v>
      </c>
      <c r="Q18" s="180"/>
      <c r="R18" s="180"/>
      <c r="S18" s="180"/>
      <c r="T18" s="180"/>
      <c r="U18" s="180"/>
    </row>
    <row r="19" spans="1:21" x14ac:dyDescent="0.25">
      <c r="A19" s="181">
        <v>2</v>
      </c>
      <c r="B19" s="181">
        <v>2</v>
      </c>
      <c r="C19" s="243" t="s">
        <v>322</v>
      </c>
      <c r="D19" s="148" t="s">
        <v>32</v>
      </c>
      <c r="E19" s="253">
        <v>2</v>
      </c>
      <c r="F19" s="190">
        <v>2</v>
      </c>
      <c r="G19" s="190">
        <v>0</v>
      </c>
      <c r="H19" s="181" t="s">
        <v>270</v>
      </c>
      <c r="I19" s="243"/>
      <c r="J19" s="181"/>
      <c r="K19" s="181"/>
      <c r="L19" s="181">
        <v>3</v>
      </c>
      <c r="M19" s="181"/>
      <c r="N19" s="181"/>
      <c r="O19" s="240"/>
      <c r="P19" s="231"/>
      <c r="Q19" s="181">
        <v>3</v>
      </c>
      <c r="R19" s="181"/>
      <c r="S19" s="231"/>
      <c r="T19" s="231"/>
      <c r="U19" s="231"/>
    </row>
    <row r="20" spans="1:21" x14ac:dyDescent="0.25">
      <c r="A20" s="181">
        <v>2</v>
      </c>
      <c r="B20" s="181">
        <v>3</v>
      </c>
      <c r="C20" s="243" t="s">
        <v>323</v>
      </c>
      <c r="D20" s="148" t="s">
        <v>45</v>
      </c>
      <c r="E20" s="253">
        <v>2</v>
      </c>
      <c r="F20" s="190">
        <v>2</v>
      </c>
      <c r="G20" s="190">
        <v>0</v>
      </c>
      <c r="H20" s="181" t="s">
        <v>276</v>
      </c>
      <c r="I20" s="243"/>
      <c r="J20" s="181"/>
      <c r="K20" s="181"/>
      <c r="L20" s="181">
        <v>3</v>
      </c>
      <c r="M20" s="181"/>
      <c r="N20" s="181"/>
      <c r="O20" s="240"/>
      <c r="P20" s="231"/>
      <c r="Q20" s="181">
        <v>3</v>
      </c>
      <c r="R20" s="181"/>
      <c r="S20" s="231"/>
      <c r="T20" s="231"/>
      <c r="U20" s="231"/>
    </row>
    <row r="21" spans="1:21" x14ac:dyDescent="0.25">
      <c r="A21" s="181">
        <v>2</v>
      </c>
      <c r="B21" s="181">
        <v>3</v>
      </c>
      <c r="C21" s="243" t="s">
        <v>324</v>
      </c>
      <c r="D21" s="148" t="s">
        <v>43</v>
      </c>
      <c r="E21" s="253">
        <v>2</v>
      </c>
      <c r="F21" s="190">
        <v>1</v>
      </c>
      <c r="G21" s="190">
        <v>1</v>
      </c>
      <c r="H21" s="181"/>
      <c r="I21" s="243"/>
      <c r="J21" s="181"/>
      <c r="K21" s="181"/>
      <c r="L21" s="181">
        <v>3</v>
      </c>
      <c r="M21" s="181"/>
      <c r="N21" s="181"/>
      <c r="O21" s="240"/>
      <c r="P21" s="231"/>
      <c r="Q21" s="181">
        <v>3</v>
      </c>
      <c r="R21" s="181"/>
      <c r="S21" s="231"/>
      <c r="T21" s="231"/>
      <c r="U21" s="231"/>
    </row>
    <row r="22" spans="1:21" x14ac:dyDescent="0.25">
      <c r="A22" s="181">
        <v>2</v>
      </c>
      <c r="B22" s="181">
        <v>4</v>
      </c>
      <c r="C22" s="243" t="s">
        <v>325</v>
      </c>
      <c r="D22" s="148" t="s">
        <v>40</v>
      </c>
      <c r="E22" s="253">
        <v>2</v>
      </c>
      <c r="F22" s="190">
        <v>2</v>
      </c>
      <c r="G22" s="190">
        <v>0</v>
      </c>
      <c r="H22" s="181"/>
      <c r="I22" s="243"/>
      <c r="J22" s="181"/>
      <c r="K22" s="181"/>
      <c r="L22" s="181">
        <v>3</v>
      </c>
      <c r="M22" s="181"/>
      <c r="N22" s="181"/>
      <c r="O22" s="240"/>
      <c r="P22" s="231"/>
      <c r="Q22" s="181">
        <v>3</v>
      </c>
      <c r="R22" s="181"/>
      <c r="S22" s="232"/>
      <c r="T22" s="231"/>
      <c r="U22" s="231"/>
    </row>
    <row r="23" spans="1:21" x14ac:dyDescent="0.25">
      <c r="A23" s="181">
        <v>2</v>
      </c>
      <c r="B23" s="181">
        <v>3</v>
      </c>
      <c r="C23" s="243" t="s">
        <v>326</v>
      </c>
      <c r="D23" s="148" t="s">
        <v>152</v>
      </c>
      <c r="E23" s="253">
        <v>1</v>
      </c>
      <c r="F23" s="190">
        <v>2</v>
      </c>
      <c r="G23" s="190">
        <v>2</v>
      </c>
      <c r="H23" s="181"/>
      <c r="I23" s="243"/>
      <c r="J23" s="181"/>
      <c r="K23" s="181"/>
      <c r="L23" s="181">
        <v>3</v>
      </c>
      <c r="M23" s="181"/>
      <c r="N23" s="181"/>
      <c r="O23" s="240"/>
      <c r="P23" s="231"/>
      <c r="Q23" s="181">
        <v>3</v>
      </c>
      <c r="R23" s="181"/>
      <c r="S23" s="181"/>
      <c r="T23" s="231"/>
      <c r="U23" s="231"/>
    </row>
    <row r="24" spans="1:21" x14ac:dyDescent="0.25">
      <c r="A24" s="181">
        <v>2</v>
      </c>
      <c r="B24" s="181">
        <v>3</v>
      </c>
      <c r="C24" s="243" t="s">
        <v>327</v>
      </c>
      <c r="D24" s="148" t="s">
        <v>153</v>
      </c>
      <c r="E24" s="253">
        <v>1</v>
      </c>
      <c r="F24" s="190">
        <v>2</v>
      </c>
      <c r="G24" s="190">
        <v>2</v>
      </c>
      <c r="H24" s="181" t="s">
        <v>356</v>
      </c>
      <c r="I24" s="243"/>
      <c r="J24" s="181"/>
      <c r="K24" s="181"/>
      <c r="L24" s="181">
        <v>3</v>
      </c>
      <c r="M24" s="181"/>
      <c r="N24" s="181"/>
      <c r="O24" s="240"/>
      <c r="P24" s="231"/>
      <c r="Q24" s="181">
        <v>3</v>
      </c>
      <c r="R24" s="181"/>
      <c r="S24" s="181"/>
      <c r="T24" s="231"/>
      <c r="U24" s="231"/>
    </row>
    <row r="25" spans="1:21" x14ac:dyDescent="0.25">
      <c r="A25" s="181">
        <v>3</v>
      </c>
      <c r="B25" s="181">
        <v>4</v>
      </c>
      <c r="C25" s="243" t="s">
        <v>328</v>
      </c>
      <c r="D25" s="148" t="s">
        <v>42</v>
      </c>
      <c r="E25" s="253">
        <v>2</v>
      </c>
      <c r="F25" s="190">
        <v>2</v>
      </c>
      <c r="G25" s="190">
        <v>0</v>
      </c>
      <c r="H25" s="181" t="s">
        <v>276</v>
      </c>
      <c r="I25" s="243"/>
      <c r="J25" s="181"/>
      <c r="K25" s="181"/>
      <c r="L25" s="181">
        <v>3</v>
      </c>
      <c r="M25" s="181"/>
      <c r="N25" s="181"/>
      <c r="O25" s="240"/>
      <c r="P25" s="231"/>
      <c r="Q25" s="231"/>
      <c r="R25" s="181">
        <v>3</v>
      </c>
      <c r="S25" s="181"/>
      <c r="T25" s="231"/>
      <c r="U25" s="231"/>
    </row>
    <row r="26" spans="1:21" x14ac:dyDescent="0.25">
      <c r="A26" s="181">
        <v>3</v>
      </c>
      <c r="B26" s="181">
        <v>5</v>
      </c>
      <c r="C26" s="243" t="s">
        <v>329</v>
      </c>
      <c r="D26" s="148" t="s">
        <v>49</v>
      </c>
      <c r="E26" s="253">
        <v>2</v>
      </c>
      <c r="F26" s="190">
        <v>1</v>
      </c>
      <c r="G26" s="190">
        <v>1</v>
      </c>
      <c r="H26" s="181" t="s">
        <v>278</v>
      </c>
      <c r="I26" s="243"/>
      <c r="J26" s="181"/>
      <c r="K26" s="181"/>
      <c r="L26" s="181">
        <v>3</v>
      </c>
      <c r="M26" s="181"/>
      <c r="N26" s="181"/>
      <c r="O26" s="240"/>
      <c r="P26" s="231"/>
      <c r="Q26" s="231"/>
      <c r="R26" s="181"/>
      <c r="S26" s="181">
        <v>3</v>
      </c>
      <c r="T26" s="231"/>
      <c r="U26" s="231"/>
    </row>
    <row r="27" spans="1:21" x14ac:dyDescent="0.25">
      <c r="A27" s="181">
        <v>3</v>
      </c>
      <c r="B27" s="181">
        <v>5</v>
      </c>
      <c r="C27" s="243" t="s">
        <v>330</v>
      </c>
      <c r="D27" s="148" t="s">
        <v>51</v>
      </c>
      <c r="E27" s="253">
        <v>2</v>
      </c>
      <c r="F27" s="190">
        <v>2</v>
      </c>
      <c r="G27" s="190">
        <v>0</v>
      </c>
      <c r="H27" s="181" t="s">
        <v>282</v>
      </c>
      <c r="I27" s="243"/>
      <c r="J27" s="181"/>
      <c r="K27" s="181"/>
      <c r="L27" s="181">
        <v>3</v>
      </c>
      <c r="M27" s="181"/>
      <c r="N27" s="181"/>
      <c r="O27" s="240"/>
      <c r="P27" s="231"/>
      <c r="Q27" s="231"/>
      <c r="R27" s="231"/>
      <c r="S27" s="181">
        <v>3</v>
      </c>
      <c r="T27" s="231"/>
      <c r="U27" s="231"/>
    </row>
    <row r="28" spans="1:21" x14ac:dyDescent="0.25">
      <c r="A28" s="181">
        <v>3</v>
      </c>
      <c r="B28" s="181">
        <v>6</v>
      </c>
      <c r="C28" s="243" t="s">
        <v>331</v>
      </c>
      <c r="D28" s="148" t="s">
        <v>154</v>
      </c>
      <c r="E28" s="253">
        <v>2</v>
      </c>
      <c r="F28" s="190">
        <v>2</v>
      </c>
      <c r="G28" s="190">
        <v>0</v>
      </c>
      <c r="H28" s="181" t="s">
        <v>277</v>
      </c>
      <c r="I28" s="243"/>
      <c r="J28" s="181"/>
      <c r="K28" s="181"/>
      <c r="L28" s="181">
        <v>3</v>
      </c>
      <c r="M28" s="181"/>
      <c r="N28" s="181"/>
      <c r="O28" s="240"/>
      <c r="P28" s="231"/>
      <c r="Q28" s="231"/>
      <c r="R28" s="231"/>
      <c r="S28" s="181">
        <v>3</v>
      </c>
      <c r="T28" s="231"/>
      <c r="U28" s="231"/>
    </row>
    <row r="29" spans="1:21" x14ac:dyDescent="0.25">
      <c r="A29" s="181">
        <v>3</v>
      </c>
      <c r="B29" s="181">
        <v>4</v>
      </c>
      <c r="C29" s="243" t="s">
        <v>332</v>
      </c>
      <c r="D29" s="148" t="s">
        <v>155</v>
      </c>
      <c r="E29" s="253">
        <v>2</v>
      </c>
      <c r="F29" s="190">
        <v>1</v>
      </c>
      <c r="G29" s="190">
        <v>1</v>
      </c>
      <c r="H29" s="181" t="s">
        <v>278</v>
      </c>
      <c r="I29" s="243"/>
      <c r="J29" s="181"/>
      <c r="K29" s="181"/>
      <c r="L29" s="181">
        <v>3</v>
      </c>
      <c r="M29" s="181"/>
      <c r="N29" s="181"/>
      <c r="O29" s="240"/>
      <c r="P29" s="231"/>
      <c r="Q29" s="181">
        <v>3</v>
      </c>
      <c r="R29" s="231"/>
      <c r="S29" s="231"/>
      <c r="T29" s="231"/>
      <c r="U29" s="231"/>
    </row>
    <row r="30" spans="1:21" x14ac:dyDescent="0.25">
      <c r="A30" s="181">
        <v>3</v>
      </c>
      <c r="B30" s="181">
        <v>4</v>
      </c>
      <c r="C30" s="243" t="s">
        <v>333</v>
      </c>
      <c r="D30" s="148" t="s">
        <v>156</v>
      </c>
      <c r="E30" s="253">
        <v>2</v>
      </c>
      <c r="F30" s="190">
        <v>2</v>
      </c>
      <c r="G30" s="190">
        <v>0</v>
      </c>
      <c r="H30" s="181"/>
      <c r="I30" s="243"/>
      <c r="J30" s="181"/>
      <c r="K30" s="181"/>
      <c r="L30" s="181">
        <v>3</v>
      </c>
      <c r="M30" s="181"/>
      <c r="N30" s="181"/>
      <c r="O30" s="240"/>
      <c r="P30" s="231"/>
      <c r="Q30" s="181">
        <v>3</v>
      </c>
      <c r="R30" s="181"/>
      <c r="S30" s="231"/>
      <c r="T30" s="231"/>
      <c r="U30" s="231"/>
    </row>
    <row r="31" spans="1:21" x14ac:dyDescent="0.25">
      <c r="A31" s="181">
        <v>3</v>
      </c>
      <c r="B31" s="181">
        <v>5</v>
      </c>
      <c r="C31" s="243" t="s">
        <v>334</v>
      </c>
      <c r="D31" s="148" t="s">
        <v>53</v>
      </c>
      <c r="E31" s="253">
        <v>2</v>
      </c>
      <c r="F31" s="190">
        <v>1</v>
      </c>
      <c r="G31" s="190">
        <v>1</v>
      </c>
      <c r="H31" s="181" t="s">
        <v>265</v>
      </c>
      <c r="I31" s="243"/>
      <c r="J31" s="181"/>
      <c r="K31" s="181"/>
      <c r="L31" s="181">
        <v>3</v>
      </c>
      <c r="M31" s="181"/>
      <c r="N31" s="181"/>
      <c r="O31" s="240"/>
      <c r="P31" s="231"/>
      <c r="Q31" s="181">
        <v>3</v>
      </c>
      <c r="R31" s="181"/>
      <c r="S31" s="231"/>
      <c r="T31" s="231"/>
      <c r="U31" s="231"/>
    </row>
    <row r="32" spans="1:21" x14ac:dyDescent="0.25">
      <c r="A32" s="181">
        <v>3</v>
      </c>
      <c r="B32" s="181">
        <v>4</v>
      </c>
      <c r="C32" s="243" t="s">
        <v>335</v>
      </c>
      <c r="D32" s="148" t="s">
        <v>157</v>
      </c>
      <c r="E32" s="253"/>
      <c r="F32" s="190"/>
      <c r="G32" s="190"/>
      <c r="H32" s="181"/>
      <c r="I32" s="243"/>
      <c r="J32" s="181"/>
      <c r="K32" s="181"/>
      <c r="L32" s="181">
        <v>0</v>
      </c>
      <c r="M32" s="181"/>
      <c r="N32" s="181"/>
      <c r="O32" s="240"/>
      <c r="P32" s="231"/>
      <c r="Q32" s="231"/>
      <c r="R32" s="231"/>
      <c r="S32" s="231"/>
      <c r="T32" s="181">
        <v>0</v>
      </c>
      <c r="U32" s="181"/>
    </row>
    <row r="33" spans="1:21" x14ac:dyDescent="0.25">
      <c r="A33" s="181">
        <v>3</v>
      </c>
      <c r="B33" s="181">
        <v>6</v>
      </c>
      <c r="C33" s="243" t="s">
        <v>336</v>
      </c>
      <c r="D33" s="148" t="s">
        <v>158</v>
      </c>
      <c r="E33" s="253"/>
      <c r="F33" s="190"/>
      <c r="G33" s="190"/>
      <c r="H33" s="181" t="s">
        <v>297</v>
      </c>
      <c r="I33" s="243"/>
      <c r="J33" s="181"/>
      <c r="K33" s="181"/>
      <c r="L33" s="181">
        <v>0</v>
      </c>
      <c r="M33" s="181"/>
      <c r="N33" s="181"/>
      <c r="O33" s="240"/>
      <c r="P33" s="231"/>
      <c r="Q33" s="231"/>
      <c r="R33" s="231"/>
      <c r="S33" s="181"/>
      <c r="T33" s="181">
        <v>0</v>
      </c>
      <c r="U33" s="181"/>
    </row>
    <row r="34" spans="1:21" x14ac:dyDescent="0.25">
      <c r="A34" s="181">
        <v>4</v>
      </c>
      <c r="B34" s="181">
        <v>6</v>
      </c>
      <c r="C34" s="243" t="s">
        <v>337</v>
      </c>
      <c r="D34" s="148" t="s">
        <v>159</v>
      </c>
      <c r="E34" s="253">
        <v>2</v>
      </c>
      <c r="F34" s="190">
        <v>2</v>
      </c>
      <c r="G34" s="190">
        <v>0</v>
      </c>
      <c r="H34" s="181" t="s">
        <v>283</v>
      </c>
      <c r="I34" s="243"/>
      <c r="J34" s="181"/>
      <c r="K34" s="181"/>
      <c r="L34" s="181">
        <v>3</v>
      </c>
      <c r="M34" s="181"/>
      <c r="N34" s="181"/>
      <c r="O34" s="240"/>
      <c r="P34" s="231"/>
      <c r="Q34" s="231"/>
      <c r="R34" s="231"/>
      <c r="S34" s="181">
        <v>3</v>
      </c>
      <c r="T34" s="231"/>
      <c r="U34" s="231"/>
    </row>
    <row r="35" spans="1:21" x14ac:dyDescent="0.25">
      <c r="A35" s="181">
        <v>4</v>
      </c>
      <c r="B35" s="181">
        <v>6</v>
      </c>
      <c r="C35" s="243" t="s">
        <v>338</v>
      </c>
      <c r="D35" s="148" t="s">
        <v>50</v>
      </c>
      <c r="E35" s="253">
        <v>2</v>
      </c>
      <c r="F35" s="190">
        <v>1</v>
      </c>
      <c r="G35" s="190">
        <v>1</v>
      </c>
      <c r="H35" s="181" t="s">
        <v>292</v>
      </c>
      <c r="I35" s="243"/>
      <c r="J35" s="181"/>
      <c r="K35" s="181"/>
      <c r="L35" s="181">
        <v>3</v>
      </c>
      <c r="M35" s="181"/>
      <c r="N35" s="181"/>
      <c r="O35" s="240"/>
      <c r="P35" s="231"/>
      <c r="Q35" s="181">
        <v>3</v>
      </c>
      <c r="R35" s="181"/>
      <c r="S35" s="231"/>
      <c r="T35" s="231"/>
      <c r="U35" s="231"/>
    </row>
    <row r="36" spans="1:21" x14ac:dyDescent="0.25">
      <c r="A36" s="181">
        <v>4</v>
      </c>
      <c r="B36" s="181">
        <v>6</v>
      </c>
      <c r="C36" s="243" t="s">
        <v>339</v>
      </c>
      <c r="D36" s="148" t="s">
        <v>160</v>
      </c>
      <c r="E36" s="253">
        <v>2</v>
      </c>
      <c r="F36" s="190">
        <v>1</v>
      </c>
      <c r="G36" s="190">
        <v>1</v>
      </c>
      <c r="H36" s="181"/>
      <c r="I36" s="243"/>
      <c r="J36" s="181"/>
      <c r="K36" s="181"/>
      <c r="L36" s="181">
        <v>3</v>
      </c>
      <c r="M36" s="181"/>
      <c r="N36" s="181"/>
      <c r="O36" s="240"/>
      <c r="P36" s="231"/>
      <c r="Q36" s="181">
        <v>3</v>
      </c>
      <c r="R36" s="231"/>
      <c r="S36" s="231"/>
      <c r="T36" s="231"/>
      <c r="U36" s="231"/>
    </row>
    <row r="37" spans="1:21" x14ac:dyDescent="0.25">
      <c r="A37" s="181">
        <v>4</v>
      </c>
      <c r="B37" s="181">
        <v>7</v>
      </c>
      <c r="C37" s="243" t="s">
        <v>340</v>
      </c>
      <c r="D37" s="148" t="s">
        <v>71</v>
      </c>
      <c r="E37" s="253">
        <v>1</v>
      </c>
      <c r="F37" s="190">
        <v>0</v>
      </c>
      <c r="G37" s="190">
        <v>4</v>
      </c>
      <c r="H37" s="181"/>
      <c r="I37" s="243"/>
      <c r="J37" s="181"/>
      <c r="K37" s="181"/>
      <c r="L37" s="181">
        <v>3</v>
      </c>
      <c r="M37" s="181"/>
      <c r="N37" s="181"/>
      <c r="O37" s="240"/>
      <c r="P37" s="231"/>
      <c r="Q37" s="231"/>
      <c r="R37" s="231"/>
      <c r="S37" s="231"/>
      <c r="T37" s="181">
        <v>3</v>
      </c>
      <c r="U37" s="181"/>
    </row>
    <row r="38" spans="1:21" x14ac:dyDescent="0.25">
      <c r="A38" s="181">
        <v>4</v>
      </c>
      <c r="B38" s="181">
        <v>8</v>
      </c>
      <c r="C38" s="243" t="s">
        <v>341</v>
      </c>
      <c r="D38" s="148" t="s">
        <v>161</v>
      </c>
      <c r="E38" s="253">
        <v>1</v>
      </c>
      <c r="F38" s="190">
        <v>0</v>
      </c>
      <c r="G38" s="190">
        <v>4</v>
      </c>
      <c r="H38" s="181" t="s">
        <v>317</v>
      </c>
      <c r="I38" s="243"/>
      <c r="J38" s="181"/>
      <c r="K38" s="181"/>
      <c r="L38" s="181">
        <v>3</v>
      </c>
      <c r="M38" s="181"/>
      <c r="N38" s="181"/>
      <c r="O38" s="240"/>
      <c r="P38" s="231"/>
      <c r="Q38" s="231"/>
      <c r="R38" s="231"/>
      <c r="S38" s="231"/>
      <c r="T38" s="181">
        <v>3</v>
      </c>
      <c r="U38" s="181"/>
    </row>
    <row r="39" spans="1:21" x14ac:dyDescent="0.25">
      <c r="A39" s="181">
        <v>1</v>
      </c>
      <c r="B39" s="181">
        <v>2</v>
      </c>
      <c r="C39" s="243" t="s">
        <v>162</v>
      </c>
      <c r="D39" s="148" t="s">
        <v>163</v>
      </c>
      <c r="E39" s="253">
        <v>2</v>
      </c>
      <c r="F39" s="190">
        <v>1</v>
      </c>
      <c r="G39" s="190">
        <v>1</v>
      </c>
      <c r="H39" s="181"/>
      <c r="I39" s="243"/>
      <c r="J39" s="181"/>
      <c r="K39" s="181"/>
      <c r="L39" s="181">
        <v>3</v>
      </c>
      <c r="M39" s="181"/>
      <c r="N39" s="181"/>
      <c r="O39" s="240"/>
      <c r="P39" s="181">
        <v>3</v>
      </c>
      <c r="Q39" s="232"/>
      <c r="R39" s="232"/>
      <c r="S39" s="232"/>
      <c r="T39" s="181"/>
      <c r="U39" s="181"/>
    </row>
    <row r="40" spans="1:21" x14ac:dyDescent="0.25">
      <c r="A40" s="181">
        <v>1</v>
      </c>
      <c r="B40" s="181">
        <v>2</v>
      </c>
      <c r="C40" s="243" t="s">
        <v>352</v>
      </c>
      <c r="D40" s="148" t="s">
        <v>26</v>
      </c>
      <c r="E40" s="253">
        <v>2</v>
      </c>
      <c r="F40" s="190">
        <v>2</v>
      </c>
      <c r="G40" s="190">
        <v>0</v>
      </c>
      <c r="H40" s="181" t="s">
        <v>268</v>
      </c>
      <c r="I40" s="243"/>
      <c r="J40" s="181"/>
      <c r="K40" s="181"/>
      <c r="L40" s="181">
        <v>3</v>
      </c>
      <c r="M40" s="181"/>
      <c r="N40" s="181"/>
      <c r="O40" s="240"/>
      <c r="P40" s="181">
        <v>3</v>
      </c>
      <c r="Q40" s="232"/>
      <c r="R40" s="232"/>
      <c r="S40" s="232"/>
      <c r="T40" s="181"/>
      <c r="U40" s="181"/>
    </row>
    <row r="41" spans="1:21" x14ac:dyDescent="0.25">
      <c r="A41" s="181">
        <v>2</v>
      </c>
      <c r="B41" s="181">
        <v>4</v>
      </c>
      <c r="C41" s="243" t="s">
        <v>353</v>
      </c>
      <c r="D41" s="148" t="s">
        <v>38</v>
      </c>
      <c r="E41" s="253">
        <v>2</v>
      </c>
      <c r="F41" s="190">
        <v>2</v>
      </c>
      <c r="G41" s="190">
        <v>0</v>
      </c>
      <c r="H41" s="181" t="s">
        <v>262</v>
      </c>
      <c r="I41" s="243"/>
      <c r="J41" s="181"/>
      <c r="K41" s="181"/>
      <c r="L41" s="181">
        <v>3</v>
      </c>
      <c r="M41" s="181"/>
      <c r="N41" s="181"/>
      <c r="O41" s="240"/>
      <c r="P41" s="181">
        <v>3</v>
      </c>
      <c r="Q41" s="232"/>
      <c r="R41" s="232"/>
      <c r="S41" s="232"/>
      <c r="T41" s="181"/>
      <c r="U41" s="181"/>
    </row>
    <row r="42" spans="1:21" x14ac:dyDescent="0.25">
      <c r="A42" s="181">
        <v>2</v>
      </c>
      <c r="B42" s="181">
        <v>7</v>
      </c>
      <c r="C42" s="243" t="s">
        <v>354</v>
      </c>
      <c r="D42" s="148" t="s">
        <v>65</v>
      </c>
      <c r="E42" s="253">
        <v>2</v>
      </c>
      <c r="F42" s="190">
        <v>2</v>
      </c>
      <c r="G42" s="190">
        <v>0</v>
      </c>
      <c r="H42" s="181" t="s">
        <v>269</v>
      </c>
      <c r="I42" s="243"/>
      <c r="J42" s="181"/>
      <c r="K42" s="181"/>
      <c r="L42" s="181">
        <v>3</v>
      </c>
      <c r="M42" s="181"/>
      <c r="N42" s="181"/>
      <c r="O42" s="240"/>
      <c r="P42" s="181">
        <v>3</v>
      </c>
      <c r="Q42" s="232"/>
      <c r="R42" s="232"/>
      <c r="S42" s="232"/>
      <c r="T42" s="181"/>
      <c r="U42" s="181"/>
    </row>
    <row r="43" spans="1:21" x14ac:dyDescent="0.25">
      <c r="A43" s="183">
        <v>3</v>
      </c>
      <c r="B43" s="183">
        <v>5</v>
      </c>
      <c r="C43" s="254" t="s">
        <v>367</v>
      </c>
      <c r="D43" s="191" t="s">
        <v>74</v>
      </c>
      <c r="E43" s="254">
        <v>2</v>
      </c>
      <c r="F43" s="192">
        <v>2</v>
      </c>
      <c r="G43" s="192">
        <v>0</v>
      </c>
      <c r="H43" s="183" t="s">
        <v>277</v>
      </c>
      <c r="I43" s="244"/>
      <c r="J43" s="183"/>
      <c r="K43" s="183"/>
      <c r="L43" s="183"/>
      <c r="M43" s="183">
        <v>3</v>
      </c>
      <c r="N43" s="183"/>
      <c r="O43" s="241"/>
      <c r="P43" s="233"/>
      <c r="Q43" s="233">
        <v>3</v>
      </c>
      <c r="R43" s="233"/>
      <c r="S43" s="183"/>
      <c r="T43" s="233"/>
      <c r="U43" s="233"/>
    </row>
    <row r="44" spans="1:21" x14ac:dyDescent="0.25">
      <c r="A44" s="183">
        <v>3</v>
      </c>
      <c r="B44" s="183">
        <v>5</v>
      </c>
      <c r="C44" s="254" t="s">
        <v>342</v>
      </c>
      <c r="D44" s="191" t="s">
        <v>55</v>
      </c>
      <c r="E44" s="254">
        <v>2</v>
      </c>
      <c r="F44" s="192">
        <v>2</v>
      </c>
      <c r="G44" s="192">
        <v>0</v>
      </c>
      <c r="H44" s="192"/>
      <c r="I44" s="244"/>
      <c r="J44" s="183"/>
      <c r="K44" s="183"/>
      <c r="L44" s="183"/>
      <c r="M44" s="183">
        <v>3</v>
      </c>
      <c r="N44" s="183"/>
      <c r="O44" s="241"/>
      <c r="P44" s="233"/>
      <c r="Q44" s="183"/>
      <c r="R44" s="183"/>
      <c r="S44" s="233">
        <v>3</v>
      </c>
      <c r="T44" s="233"/>
      <c r="U44" s="233"/>
    </row>
    <row r="45" spans="1:21" x14ac:dyDescent="0.25">
      <c r="A45" s="183">
        <v>3</v>
      </c>
      <c r="B45" s="183">
        <v>6</v>
      </c>
      <c r="C45" s="254" t="s">
        <v>368</v>
      </c>
      <c r="D45" s="191" t="s">
        <v>76</v>
      </c>
      <c r="E45" s="254">
        <v>2</v>
      </c>
      <c r="F45" s="192">
        <v>1</v>
      </c>
      <c r="G45" s="192">
        <v>1</v>
      </c>
      <c r="H45" s="192" t="s">
        <v>110</v>
      </c>
      <c r="I45" s="244"/>
      <c r="J45" s="183"/>
      <c r="K45" s="183"/>
      <c r="L45" s="183"/>
      <c r="M45" s="183">
        <v>3</v>
      </c>
      <c r="N45" s="183"/>
      <c r="O45" s="241"/>
      <c r="P45" s="233"/>
      <c r="Q45" s="233"/>
      <c r="R45" s="233"/>
      <c r="S45" s="183">
        <v>3</v>
      </c>
      <c r="T45" s="233"/>
      <c r="U45" s="233"/>
    </row>
    <row r="46" spans="1:21" x14ac:dyDescent="0.25">
      <c r="A46" s="183">
        <v>4</v>
      </c>
      <c r="B46" s="183">
        <v>6</v>
      </c>
      <c r="C46" s="254" t="s">
        <v>369</v>
      </c>
      <c r="D46" s="191" t="s">
        <v>77</v>
      </c>
      <c r="E46" s="254">
        <v>2</v>
      </c>
      <c r="F46" s="192">
        <v>2</v>
      </c>
      <c r="G46" s="192">
        <v>0</v>
      </c>
      <c r="H46" s="192" t="s">
        <v>285</v>
      </c>
      <c r="I46" s="244"/>
      <c r="J46" s="183"/>
      <c r="K46" s="183"/>
      <c r="L46" s="183"/>
      <c r="M46" s="183">
        <v>3</v>
      </c>
      <c r="N46" s="183"/>
      <c r="O46" s="241"/>
      <c r="P46" s="233"/>
      <c r="Q46" s="233"/>
      <c r="R46" s="233"/>
      <c r="S46" s="183">
        <v>3</v>
      </c>
      <c r="T46" s="233"/>
      <c r="U46" s="233"/>
    </row>
    <row r="47" spans="1:21" x14ac:dyDescent="0.25">
      <c r="A47" s="183">
        <v>4</v>
      </c>
      <c r="B47" s="183">
        <v>7</v>
      </c>
      <c r="C47" s="254" t="s">
        <v>372</v>
      </c>
      <c r="D47" s="191" t="s">
        <v>93</v>
      </c>
      <c r="E47" s="254">
        <v>2</v>
      </c>
      <c r="F47" s="192">
        <v>2</v>
      </c>
      <c r="G47" s="192">
        <v>0</v>
      </c>
      <c r="H47" s="192" t="s">
        <v>298</v>
      </c>
      <c r="I47" s="244"/>
      <c r="J47" s="183"/>
      <c r="K47" s="183"/>
      <c r="L47" s="183"/>
      <c r="M47" s="183">
        <v>3</v>
      </c>
      <c r="N47" s="183"/>
      <c r="O47" s="241"/>
      <c r="P47" s="233"/>
      <c r="Q47" s="233"/>
      <c r="R47" s="233"/>
      <c r="S47" s="183">
        <v>3</v>
      </c>
      <c r="T47" s="233"/>
      <c r="U47" s="233"/>
    </row>
    <row r="48" spans="1:21" x14ac:dyDescent="0.25">
      <c r="A48" s="183">
        <v>4</v>
      </c>
      <c r="B48" s="183">
        <v>7</v>
      </c>
      <c r="C48" s="254" t="s">
        <v>370</v>
      </c>
      <c r="D48" s="191" t="s">
        <v>198</v>
      </c>
      <c r="E48" s="254">
        <v>2</v>
      </c>
      <c r="F48" s="192">
        <v>2</v>
      </c>
      <c r="G48" s="192">
        <v>0</v>
      </c>
      <c r="H48" s="192" t="s">
        <v>287</v>
      </c>
      <c r="I48" s="244"/>
      <c r="J48" s="183"/>
      <c r="K48" s="183"/>
      <c r="L48" s="183"/>
      <c r="M48" s="183">
        <v>3</v>
      </c>
      <c r="N48" s="183"/>
      <c r="O48" s="241"/>
      <c r="P48" s="233"/>
      <c r="Q48" s="233"/>
      <c r="R48" s="233"/>
      <c r="S48" s="183">
        <v>3</v>
      </c>
      <c r="T48" s="233"/>
      <c r="U48" s="233"/>
    </row>
    <row r="49" spans="1:21" x14ac:dyDescent="0.25">
      <c r="A49" s="183">
        <v>4</v>
      </c>
      <c r="B49" s="183">
        <v>5</v>
      </c>
      <c r="C49" s="254" t="s">
        <v>371</v>
      </c>
      <c r="D49" s="191" t="s">
        <v>75</v>
      </c>
      <c r="E49" s="254">
        <v>2</v>
      </c>
      <c r="F49" s="192">
        <v>2</v>
      </c>
      <c r="G49" s="192">
        <v>0</v>
      </c>
      <c r="H49" s="192"/>
      <c r="I49" s="244"/>
      <c r="J49" s="183"/>
      <c r="K49" s="183"/>
      <c r="L49" s="183"/>
      <c r="M49" s="183">
        <v>3</v>
      </c>
      <c r="N49" s="183"/>
      <c r="O49" s="241"/>
      <c r="P49" s="233"/>
      <c r="Q49" s="233"/>
      <c r="R49" s="233"/>
      <c r="S49" s="183">
        <v>3</v>
      </c>
      <c r="T49" s="233"/>
      <c r="U49" s="233"/>
    </row>
    <row r="50" spans="1:21" x14ac:dyDescent="0.25">
      <c r="A50" s="183">
        <v>4</v>
      </c>
      <c r="B50" s="183">
        <v>7</v>
      </c>
      <c r="C50" s="275" t="s">
        <v>381</v>
      </c>
      <c r="D50" s="276" t="s">
        <v>382</v>
      </c>
      <c r="E50" s="254">
        <v>2</v>
      </c>
      <c r="F50" s="277">
        <v>2</v>
      </c>
      <c r="G50" s="277">
        <v>0</v>
      </c>
      <c r="H50" s="278"/>
      <c r="I50" s="244"/>
      <c r="J50" s="183"/>
      <c r="K50" s="183"/>
      <c r="L50" s="183"/>
      <c r="M50" s="183"/>
      <c r="N50" s="183">
        <v>3</v>
      </c>
      <c r="O50" s="241"/>
      <c r="P50" s="279">
        <v>3</v>
      </c>
      <c r="Q50" s="233"/>
      <c r="R50" s="233"/>
      <c r="S50" s="183"/>
      <c r="T50" s="233"/>
      <c r="U50" s="233"/>
    </row>
    <row r="51" spans="1:21" x14ac:dyDescent="0.25">
      <c r="A51" s="183">
        <v>4</v>
      </c>
      <c r="B51" s="183">
        <v>7</v>
      </c>
      <c r="C51" s="275" t="s">
        <v>318</v>
      </c>
      <c r="D51" s="276" t="s">
        <v>116</v>
      </c>
      <c r="E51" s="254">
        <v>2</v>
      </c>
      <c r="F51" s="192">
        <v>1</v>
      </c>
      <c r="G51" s="192">
        <v>1</v>
      </c>
      <c r="H51" s="192"/>
      <c r="I51" s="244"/>
      <c r="J51" s="183"/>
      <c r="K51" s="183"/>
      <c r="L51" s="183"/>
      <c r="M51" s="183"/>
      <c r="N51" s="183">
        <v>3</v>
      </c>
      <c r="O51" s="241"/>
      <c r="P51" s="233"/>
      <c r="Q51" s="233"/>
      <c r="R51" s="233"/>
      <c r="S51" s="183">
        <v>3</v>
      </c>
      <c r="T51" s="233"/>
      <c r="U51" s="233"/>
    </row>
    <row r="52" spans="1:21" x14ac:dyDescent="0.25">
      <c r="A52" s="183">
        <v>4</v>
      </c>
      <c r="B52" s="183">
        <v>8</v>
      </c>
      <c r="C52" s="275" t="s">
        <v>319</v>
      </c>
      <c r="D52" s="276" t="s">
        <v>117</v>
      </c>
      <c r="E52" s="254">
        <v>2</v>
      </c>
      <c r="F52" s="192">
        <v>1</v>
      </c>
      <c r="G52" s="192">
        <v>1</v>
      </c>
      <c r="H52" s="192"/>
      <c r="I52" s="244"/>
      <c r="J52" s="183"/>
      <c r="K52" s="183"/>
      <c r="L52" s="183"/>
      <c r="M52" s="183"/>
      <c r="N52" s="183">
        <v>3</v>
      </c>
      <c r="O52" s="241"/>
      <c r="P52" s="233"/>
      <c r="Q52" s="233"/>
      <c r="R52" s="233"/>
      <c r="S52" s="183">
        <v>3</v>
      </c>
      <c r="T52" s="233"/>
      <c r="U52" s="233"/>
    </row>
    <row r="53" spans="1:21" x14ac:dyDescent="0.25">
      <c r="A53" s="183">
        <v>4</v>
      </c>
      <c r="B53" s="183">
        <v>8</v>
      </c>
      <c r="C53" s="275" t="s">
        <v>320</v>
      </c>
      <c r="D53" s="276" t="s">
        <v>118</v>
      </c>
      <c r="E53" s="254">
        <v>2</v>
      </c>
      <c r="F53" s="192">
        <v>1</v>
      </c>
      <c r="G53" s="192">
        <v>1</v>
      </c>
      <c r="H53" s="192"/>
      <c r="I53" s="244"/>
      <c r="J53" s="183"/>
      <c r="K53" s="183"/>
      <c r="L53" s="183"/>
      <c r="M53" s="183"/>
      <c r="N53" s="183">
        <v>3</v>
      </c>
      <c r="O53" s="241"/>
      <c r="P53" s="233"/>
      <c r="Q53" s="233"/>
      <c r="R53" s="233"/>
      <c r="S53" s="183">
        <v>3</v>
      </c>
      <c r="T53" s="233"/>
      <c r="U53" s="233"/>
    </row>
    <row r="54" spans="1:21" x14ac:dyDescent="0.25">
      <c r="A54" s="183">
        <v>4</v>
      </c>
      <c r="B54" s="183">
        <v>8</v>
      </c>
      <c r="C54" s="275" t="s">
        <v>321</v>
      </c>
      <c r="D54" s="276" t="s">
        <v>119</v>
      </c>
      <c r="E54" s="254">
        <v>2</v>
      </c>
      <c r="F54" s="192">
        <v>1</v>
      </c>
      <c r="G54" s="192">
        <v>1</v>
      </c>
      <c r="H54" s="192"/>
      <c r="I54" s="244"/>
      <c r="J54" s="183"/>
      <c r="K54" s="183"/>
      <c r="L54" s="183"/>
      <c r="M54" s="183"/>
      <c r="N54" s="183">
        <v>3</v>
      </c>
      <c r="O54" s="241"/>
      <c r="P54" s="233"/>
      <c r="Q54" s="233"/>
      <c r="R54" s="233"/>
      <c r="S54" s="183">
        <v>3</v>
      </c>
      <c r="T54" s="233"/>
      <c r="U54" s="233"/>
    </row>
    <row r="55" spans="1:21" s="263" customFormat="1" ht="15" x14ac:dyDescent="0.25">
      <c r="A55" s="262"/>
      <c r="C55" s="262"/>
      <c r="E55" s="262"/>
      <c r="F55" s="262"/>
      <c r="G55" s="262"/>
      <c r="H55" s="262"/>
      <c r="I55" s="264">
        <f t="shared" ref="I55:U55" si="0">SUM(I3:I54)</f>
        <v>9</v>
      </c>
      <c r="J55" s="262">
        <f t="shared" si="0"/>
        <v>9</v>
      </c>
      <c r="K55" s="262">
        <f t="shared" si="0"/>
        <v>24</v>
      </c>
      <c r="L55" s="262">
        <f t="shared" si="0"/>
        <v>66</v>
      </c>
      <c r="M55" s="262">
        <f t="shared" si="0"/>
        <v>21</v>
      </c>
      <c r="N55" s="262">
        <f>SUM(N3:N54)</f>
        <v>15</v>
      </c>
      <c r="O55" s="264">
        <f t="shared" si="0"/>
        <v>15</v>
      </c>
      <c r="P55" s="262">
        <f t="shared" si="0"/>
        <v>30</v>
      </c>
      <c r="Q55" s="262">
        <f t="shared" si="0"/>
        <v>39</v>
      </c>
      <c r="R55" s="262">
        <f t="shared" si="0"/>
        <v>9</v>
      </c>
      <c r="S55" s="262">
        <f t="shared" si="0"/>
        <v>45</v>
      </c>
      <c r="T55" s="262">
        <f t="shared" si="0"/>
        <v>6</v>
      </c>
      <c r="U55" s="262">
        <f t="shared" si="0"/>
        <v>0</v>
      </c>
    </row>
    <row r="56" spans="1:21" s="263" customFormat="1" ht="15" x14ac:dyDescent="0.25">
      <c r="A56" s="262"/>
      <c r="C56" s="262"/>
      <c r="E56" s="262"/>
      <c r="F56" s="262"/>
      <c r="G56" s="262"/>
      <c r="H56" s="262"/>
      <c r="I56" s="265">
        <f t="shared" ref="I56:U56" si="1">I55/144</f>
        <v>6.25E-2</v>
      </c>
      <c r="J56" s="266">
        <f t="shared" si="1"/>
        <v>6.25E-2</v>
      </c>
      <c r="K56" s="266">
        <f t="shared" si="1"/>
        <v>0.16666666666666666</v>
      </c>
      <c r="L56" s="266">
        <f t="shared" si="1"/>
        <v>0.45833333333333331</v>
      </c>
      <c r="M56" s="266">
        <f t="shared" si="1"/>
        <v>0.14583333333333334</v>
      </c>
      <c r="N56" s="266">
        <f t="shared" si="1"/>
        <v>0.10416666666666667</v>
      </c>
      <c r="O56" s="271">
        <f>O55/144</f>
        <v>0.10416666666666667</v>
      </c>
      <c r="P56" s="272">
        <f t="shared" si="1"/>
        <v>0.20833333333333334</v>
      </c>
      <c r="Q56" s="272">
        <f t="shared" si="1"/>
        <v>0.27083333333333331</v>
      </c>
      <c r="R56" s="272">
        <f t="shared" si="1"/>
        <v>6.25E-2</v>
      </c>
      <c r="S56" s="272">
        <f t="shared" si="1"/>
        <v>0.3125</v>
      </c>
      <c r="T56" s="272">
        <f t="shared" si="1"/>
        <v>4.1666666666666664E-2</v>
      </c>
      <c r="U56" s="272">
        <f t="shared" si="1"/>
        <v>0</v>
      </c>
    </row>
    <row r="57" spans="1:21" s="263" customFormat="1" ht="15" x14ac:dyDescent="0.25">
      <c r="A57" s="262"/>
      <c r="C57" s="262"/>
      <c r="E57" s="262"/>
      <c r="F57" s="262"/>
      <c r="G57" s="262"/>
      <c r="H57" s="262"/>
      <c r="I57" s="264"/>
      <c r="J57" s="262"/>
      <c r="K57" s="262"/>
      <c r="L57" s="262"/>
      <c r="M57" s="262"/>
      <c r="N57" s="262"/>
      <c r="O57" s="267"/>
      <c r="P57" s="268"/>
      <c r="Q57" s="268"/>
      <c r="R57" s="268"/>
      <c r="S57" s="268"/>
      <c r="T57" s="269"/>
      <c r="U57" s="269"/>
    </row>
    <row r="58" spans="1:21" s="263" customFormat="1" ht="15" x14ac:dyDescent="0.25">
      <c r="A58" s="262"/>
      <c r="C58" s="262"/>
      <c r="E58" s="262"/>
      <c r="F58" s="262"/>
      <c r="G58" s="262"/>
      <c r="H58" s="262"/>
      <c r="I58" s="270">
        <f>SUM(I56:N56)</f>
        <v>1</v>
      </c>
      <c r="J58" s="262"/>
      <c r="K58" s="262"/>
      <c r="L58" s="262"/>
      <c r="M58" s="262"/>
      <c r="N58" s="262"/>
      <c r="O58" s="270">
        <f>SUM(O56:U56)</f>
        <v>0.99999999999999989</v>
      </c>
      <c r="P58" s="268"/>
      <c r="Q58" s="268"/>
      <c r="R58" s="268"/>
      <c r="S58" s="269"/>
      <c r="T58" s="269"/>
      <c r="U58" s="269"/>
    </row>
    <row r="59" spans="1:21" s="263" customFormat="1" ht="15" x14ac:dyDescent="0.25">
      <c r="A59" s="262"/>
      <c r="C59" s="262"/>
      <c r="E59" s="262"/>
      <c r="F59" s="262"/>
      <c r="G59" s="262"/>
      <c r="H59" s="262"/>
      <c r="I59" s="264">
        <f>SUM(I55:N55)</f>
        <v>144</v>
      </c>
      <c r="J59" s="262"/>
      <c r="K59" s="262"/>
      <c r="L59" s="262"/>
      <c r="M59" s="262"/>
      <c r="N59" s="262"/>
      <c r="O59" s="267">
        <f>SUM(O55:U55)</f>
        <v>144</v>
      </c>
      <c r="P59" s="268"/>
      <c r="Q59" s="268"/>
      <c r="R59" s="268"/>
      <c r="S59" s="269"/>
      <c r="T59" s="268"/>
      <c r="U59" s="268"/>
    </row>
    <row r="60" spans="1:21" x14ac:dyDescent="0.25">
      <c r="O60" s="174"/>
      <c r="P60" s="172"/>
      <c r="Q60" s="173"/>
      <c r="R60" s="173"/>
      <c r="S60" s="172"/>
      <c r="T60" s="172"/>
      <c r="U60" s="172"/>
    </row>
    <row r="61" spans="1:21" x14ac:dyDescent="0.25">
      <c r="O61" s="174"/>
      <c r="P61" s="172"/>
      <c r="Q61" s="172"/>
      <c r="R61" s="172"/>
      <c r="S61" s="173"/>
      <c r="T61" s="172"/>
      <c r="U61" s="172"/>
    </row>
    <row r="62" spans="1:21" x14ac:dyDescent="0.25">
      <c r="O62" s="174"/>
      <c r="P62" s="172"/>
      <c r="Q62" s="172"/>
      <c r="R62" s="172"/>
      <c r="S62" s="172"/>
      <c r="T62" s="173"/>
      <c r="U62" s="173"/>
    </row>
    <row r="63" spans="1:21" x14ac:dyDescent="0.25">
      <c r="O63" s="174"/>
      <c r="P63" s="172"/>
      <c r="Q63" s="172"/>
      <c r="R63" s="172"/>
      <c r="S63" s="172"/>
      <c r="T63" s="173"/>
      <c r="U63" s="173"/>
    </row>
    <row r="64" spans="1:21" x14ac:dyDescent="0.25">
      <c r="O64" s="174"/>
      <c r="P64" s="173"/>
      <c r="Q64" s="174"/>
      <c r="R64" s="174"/>
      <c r="S64" s="174"/>
      <c r="T64" s="173"/>
      <c r="U64" s="173"/>
    </row>
    <row r="65" spans="15:21" x14ac:dyDescent="0.25">
      <c r="O65" s="174"/>
      <c r="P65" s="173"/>
      <c r="Q65" s="174"/>
      <c r="R65" s="174"/>
      <c r="S65" s="174"/>
      <c r="T65" s="173"/>
      <c r="U65" s="173"/>
    </row>
    <row r="66" spans="15:21" x14ac:dyDescent="0.25">
      <c r="O66" s="174"/>
      <c r="P66" s="173"/>
      <c r="Q66" s="174"/>
      <c r="R66" s="174"/>
      <c r="S66" s="174"/>
      <c r="T66" s="173"/>
      <c r="U66" s="173"/>
    </row>
    <row r="67" spans="15:21" x14ac:dyDescent="0.25">
      <c r="O67" s="174"/>
      <c r="P67" s="173"/>
      <c r="Q67" s="174"/>
      <c r="R67" s="174"/>
      <c r="S67" s="174"/>
      <c r="T67" s="173"/>
      <c r="U67" s="173"/>
    </row>
  </sheetData>
  <autoFilter ref="A2:U56" xr:uid="{5DDD75C9-82D3-4996-A42F-3DA9A7994D5E}"/>
  <pageMargins left="0.16" right="0.16" top="1.07" bottom="0.16" header="0.16" footer="0.16"/>
  <pageSetup paperSize="9" scale="7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0CAA6-A639-4BD8-A13D-B24C4DB75744}">
  <sheetPr>
    <tabColor rgb="FFFFFF00"/>
    <pageSetUpPr fitToPage="1"/>
  </sheetPr>
  <dimension ref="A1:AM60"/>
  <sheetViews>
    <sheetView topLeftCell="G12" zoomScale="60" zoomScaleNormal="60" workbookViewId="0">
      <selection activeCell="Q54" sqref="Q54"/>
    </sheetView>
  </sheetViews>
  <sheetFormatPr defaultRowHeight="13.2" x14ac:dyDescent="0.25"/>
  <cols>
    <col min="1" max="1" width="32.6640625" style="155" bestFit="1" customWidth="1"/>
    <col min="2" max="2" width="12" style="155" customWidth="1"/>
    <col min="3" max="3" width="8.88671875" style="155"/>
    <col min="4" max="4" width="37.109375" style="155" bestFit="1" customWidth="1"/>
    <col min="5" max="11" width="8.88671875" style="155"/>
    <col min="12" max="12" width="11.77734375" style="155" bestFit="1" customWidth="1"/>
    <col min="13" max="13" width="48.77734375" style="155" bestFit="1" customWidth="1"/>
    <col min="14" max="16384" width="8.88671875" style="155"/>
  </cols>
  <sheetData>
    <row r="1" spans="1:39" ht="94.2" customHeight="1" x14ac:dyDescent="0.25">
      <c r="A1" s="156" t="s">
        <v>114</v>
      </c>
      <c r="B1" s="156"/>
    </row>
    <row r="2" spans="1:39" ht="14.4" customHeight="1" x14ac:dyDescent="0.25">
      <c r="A2" s="158" t="s">
        <v>10</v>
      </c>
      <c r="B2" s="166"/>
      <c r="H2" s="157"/>
      <c r="I2" s="157"/>
      <c r="J2" s="157"/>
    </row>
    <row r="3" spans="1:39" ht="15" customHeight="1" x14ac:dyDescent="0.25">
      <c r="A3" s="160" t="s">
        <v>12</v>
      </c>
      <c r="B3" s="175"/>
      <c r="E3" s="184" t="s">
        <v>6</v>
      </c>
      <c r="F3" s="184" t="s">
        <v>7</v>
      </c>
      <c r="G3" s="184" t="s">
        <v>8</v>
      </c>
      <c r="H3" s="185" t="s">
        <v>3</v>
      </c>
      <c r="I3" s="185" t="s">
        <v>4</v>
      </c>
      <c r="J3" s="185" t="s">
        <v>5</v>
      </c>
      <c r="N3" s="159" t="s">
        <v>131</v>
      </c>
      <c r="O3" s="159" t="s">
        <v>132</v>
      </c>
      <c r="P3" s="159" t="s">
        <v>133</v>
      </c>
      <c r="Q3" s="159" t="s">
        <v>134</v>
      </c>
      <c r="R3" s="159" t="s">
        <v>135</v>
      </c>
      <c r="S3" s="159" t="s">
        <v>136</v>
      </c>
      <c r="T3" s="159" t="s">
        <v>137</v>
      </c>
      <c r="U3" s="159" t="s">
        <v>138</v>
      </c>
      <c r="V3" s="159" t="s">
        <v>139</v>
      </c>
      <c r="W3" s="159" t="s">
        <v>140</v>
      </c>
      <c r="X3" s="159" t="s">
        <v>141</v>
      </c>
      <c r="Y3" s="159" t="s">
        <v>142</v>
      </c>
      <c r="Z3" s="159" t="s">
        <v>143</v>
      </c>
      <c r="AA3" s="159" t="s">
        <v>144</v>
      </c>
      <c r="AB3" s="159" t="s">
        <v>145</v>
      </c>
      <c r="AC3" s="159" t="s">
        <v>146</v>
      </c>
      <c r="AD3" s="159" t="s">
        <v>147</v>
      </c>
      <c r="AE3" s="159" t="s">
        <v>148</v>
      </c>
      <c r="AF3" s="159" t="s">
        <v>149</v>
      </c>
      <c r="AG3" s="159" t="s">
        <v>150</v>
      </c>
      <c r="AH3" s="159" t="s">
        <v>169</v>
      </c>
      <c r="AI3" s="159" t="s">
        <v>170</v>
      </c>
      <c r="AJ3" s="159" t="s">
        <v>171</v>
      </c>
      <c r="AK3" s="159" t="s">
        <v>172</v>
      </c>
      <c r="AL3" s="159" t="s">
        <v>173</v>
      </c>
    </row>
    <row r="4" spans="1:39" x14ac:dyDescent="0.25">
      <c r="A4" s="162" t="s">
        <v>14</v>
      </c>
      <c r="B4" s="166"/>
      <c r="C4" s="257" t="s">
        <v>178</v>
      </c>
      <c r="D4" s="177" t="s">
        <v>24</v>
      </c>
      <c r="E4" s="146"/>
      <c r="F4" s="146"/>
      <c r="G4" s="146"/>
      <c r="H4" s="146">
        <v>0</v>
      </c>
      <c r="I4" s="146">
        <v>0</v>
      </c>
      <c r="J4" s="146"/>
      <c r="L4" s="151" t="s">
        <v>322</v>
      </c>
      <c r="M4" s="151" t="s">
        <v>32</v>
      </c>
      <c r="N4" s="161"/>
      <c r="O4" s="161"/>
      <c r="P4" s="161"/>
      <c r="Q4" s="161"/>
      <c r="R4" s="161"/>
      <c r="S4" s="161"/>
      <c r="T4" s="161" t="s">
        <v>151</v>
      </c>
      <c r="U4" s="161"/>
      <c r="V4" s="161"/>
      <c r="W4" s="161"/>
      <c r="X4" s="161"/>
      <c r="Y4" s="161"/>
      <c r="Z4" s="161"/>
      <c r="AA4" s="161"/>
      <c r="AB4" s="161"/>
      <c r="AC4" s="161"/>
      <c r="AD4" s="161" t="s">
        <v>151</v>
      </c>
      <c r="AE4" s="161" t="s">
        <v>151</v>
      </c>
      <c r="AF4" s="161"/>
      <c r="AG4" s="161"/>
      <c r="AH4" s="161"/>
      <c r="AI4" s="161"/>
      <c r="AJ4" s="161"/>
      <c r="AK4" s="161"/>
      <c r="AL4" s="161"/>
      <c r="AM4" s="194">
        <f>COUNTIF(N4:AL4,"*X*")</f>
        <v>3</v>
      </c>
    </row>
    <row r="5" spans="1:39" x14ac:dyDescent="0.25">
      <c r="A5" s="163" t="s">
        <v>103</v>
      </c>
      <c r="B5" s="166"/>
      <c r="C5" s="257" t="s">
        <v>179</v>
      </c>
      <c r="D5" s="177" t="s">
        <v>25</v>
      </c>
      <c r="E5" s="146"/>
      <c r="F5" s="146"/>
      <c r="G5" s="146"/>
      <c r="H5" s="146">
        <v>0</v>
      </c>
      <c r="I5" s="146">
        <v>0</v>
      </c>
      <c r="J5" s="146"/>
      <c r="L5" s="151" t="s">
        <v>323</v>
      </c>
      <c r="M5" s="151" t="s">
        <v>45</v>
      </c>
      <c r="N5" s="161"/>
      <c r="O5" s="161"/>
      <c r="P5" s="161"/>
      <c r="Q5" s="161"/>
      <c r="R5" s="161"/>
      <c r="S5" s="161"/>
      <c r="T5" s="161" t="s">
        <v>151</v>
      </c>
      <c r="U5" s="161"/>
      <c r="V5" s="161"/>
      <c r="W5" s="161"/>
      <c r="X5" s="161"/>
      <c r="Y5" s="161"/>
      <c r="Z5" s="161"/>
      <c r="AA5" s="161"/>
      <c r="AB5" s="161"/>
      <c r="AC5" s="161"/>
      <c r="AD5" s="161" t="s">
        <v>151</v>
      </c>
      <c r="AE5" s="161" t="s">
        <v>151</v>
      </c>
      <c r="AF5" s="161"/>
      <c r="AG5" s="161"/>
      <c r="AH5" s="161"/>
      <c r="AI5" s="161"/>
      <c r="AJ5" s="161"/>
      <c r="AK5" s="161"/>
      <c r="AL5" s="161"/>
      <c r="AM5" s="194">
        <f t="shared" ref="AM5:AM34" si="0">COUNTIF(N5:AL5,"*X*")</f>
        <v>3</v>
      </c>
    </row>
    <row r="6" spans="1:39" x14ac:dyDescent="0.25">
      <c r="A6" s="164" t="s">
        <v>113</v>
      </c>
      <c r="B6" s="166"/>
      <c r="C6" s="257" t="s">
        <v>180</v>
      </c>
      <c r="D6" s="177" t="s">
        <v>35</v>
      </c>
      <c r="E6" s="146">
        <v>3</v>
      </c>
      <c r="F6" s="146">
        <v>0</v>
      </c>
      <c r="G6" s="146">
        <v>0</v>
      </c>
      <c r="H6" s="146">
        <v>3</v>
      </c>
      <c r="I6" s="146">
        <v>5</v>
      </c>
      <c r="J6" s="146">
        <v>125</v>
      </c>
      <c r="L6" s="151" t="s">
        <v>324</v>
      </c>
      <c r="M6" s="151" t="s">
        <v>43</v>
      </c>
      <c r="N6" s="161"/>
      <c r="O6" s="161"/>
      <c r="P6" s="161"/>
      <c r="Q6" s="161"/>
      <c r="R6" s="161"/>
      <c r="S6" s="161"/>
      <c r="T6" s="161"/>
      <c r="U6" s="161" t="s">
        <v>151</v>
      </c>
      <c r="V6" s="161"/>
      <c r="W6" s="161"/>
      <c r="X6" s="161"/>
      <c r="Y6" s="161"/>
      <c r="Z6" s="161"/>
      <c r="AA6" s="161"/>
      <c r="AB6" s="161"/>
      <c r="AC6" s="161"/>
      <c r="AD6" s="161" t="s">
        <v>151</v>
      </c>
      <c r="AE6" s="161"/>
      <c r="AF6" s="161" t="s">
        <v>151</v>
      </c>
      <c r="AG6" s="161"/>
      <c r="AH6" s="161"/>
      <c r="AI6" s="161"/>
      <c r="AJ6" s="161"/>
      <c r="AK6" s="161"/>
      <c r="AL6" s="161"/>
      <c r="AM6" s="194">
        <f t="shared" si="0"/>
        <v>3</v>
      </c>
    </row>
    <row r="7" spans="1:39" x14ac:dyDescent="0.25">
      <c r="A7" s="165" t="s">
        <v>112</v>
      </c>
      <c r="B7" s="176"/>
      <c r="C7" s="257" t="s">
        <v>181</v>
      </c>
      <c r="D7" s="177" t="s">
        <v>36</v>
      </c>
      <c r="E7" s="146">
        <v>3</v>
      </c>
      <c r="F7" s="146">
        <v>0</v>
      </c>
      <c r="G7" s="146">
        <v>0</v>
      </c>
      <c r="H7" s="146">
        <v>3</v>
      </c>
      <c r="I7" s="146">
        <v>5</v>
      </c>
      <c r="J7" s="146">
        <v>125</v>
      </c>
      <c r="L7" s="151" t="s">
        <v>325</v>
      </c>
      <c r="M7" s="151" t="s">
        <v>40</v>
      </c>
      <c r="N7" s="161"/>
      <c r="O7" s="161"/>
      <c r="P7" s="161"/>
      <c r="Q7" s="161"/>
      <c r="R7" s="161"/>
      <c r="S7" s="161"/>
      <c r="T7" s="161"/>
      <c r="U7" s="161"/>
      <c r="V7" s="161"/>
      <c r="W7" s="161" t="s">
        <v>151</v>
      </c>
      <c r="X7" s="161"/>
      <c r="Y7" s="161"/>
      <c r="Z7" s="161"/>
      <c r="AA7" s="161"/>
      <c r="AB7" s="161"/>
      <c r="AC7" s="161"/>
      <c r="AD7" s="161"/>
      <c r="AE7" s="161"/>
      <c r="AF7" s="161" t="s">
        <v>151</v>
      </c>
      <c r="AG7" s="161" t="s">
        <v>151</v>
      </c>
      <c r="AH7" s="161"/>
      <c r="AI7" s="161"/>
      <c r="AJ7" s="161"/>
      <c r="AK7" s="161"/>
      <c r="AL7" s="161"/>
      <c r="AM7" s="194">
        <f t="shared" si="0"/>
        <v>3</v>
      </c>
    </row>
    <row r="8" spans="1:39" x14ac:dyDescent="0.25">
      <c r="C8" s="257" t="s">
        <v>182</v>
      </c>
      <c r="D8" s="177" t="s">
        <v>104</v>
      </c>
      <c r="E8" s="146">
        <v>1</v>
      </c>
      <c r="F8" s="146">
        <v>2</v>
      </c>
      <c r="G8" s="146">
        <v>2</v>
      </c>
      <c r="H8" s="146">
        <v>3</v>
      </c>
      <c r="I8" s="146">
        <v>5</v>
      </c>
      <c r="J8" s="146">
        <v>125</v>
      </c>
      <c r="L8" s="151" t="s">
        <v>326</v>
      </c>
      <c r="M8" s="151" t="s">
        <v>152</v>
      </c>
      <c r="N8" s="161"/>
      <c r="O8" s="161"/>
      <c r="P8" s="161"/>
      <c r="Q8" s="161"/>
      <c r="R8" s="161"/>
      <c r="S8" s="161"/>
      <c r="T8" s="161"/>
      <c r="U8" s="161"/>
      <c r="V8" s="161"/>
      <c r="W8" s="161"/>
      <c r="X8" s="161"/>
      <c r="Y8" s="161" t="s">
        <v>151</v>
      </c>
      <c r="Z8" s="161" t="s">
        <v>151</v>
      </c>
      <c r="AA8" s="161"/>
      <c r="AB8" s="161"/>
      <c r="AC8" s="161"/>
      <c r="AD8" s="161" t="s">
        <v>151</v>
      </c>
      <c r="AE8" s="161"/>
      <c r="AF8" s="161"/>
      <c r="AG8" s="161"/>
      <c r="AH8" s="161"/>
      <c r="AI8" s="161"/>
      <c r="AJ8" s="161"/>
      <c r="AK8" s="161"/>
      <c r="AL8" s="161"/>
      <c r="AM8" s="194">
        <f t="shared" si="0"/>
        <v>3</v>
      </c>
    </row>
    <row r="9" spans="1:39" x14ac:dyDescent="0.25">
      <c r="C9" s="257" t="s">
        <v>183</v>
      </c>
      <c r="D9" s="177" t="s">
        <v>121</v>
      </c>
      <c r="E9" s="146">
        <v>3</v>
      </c>
      <c r="F9" s="146">
        <v>0</v>
      </c>
      <c r="G9" s="146">
        <v>0</v>
      </c>
      <c r="H9" s="146">
        <v>3</v>
      </c>
      <c r="I9" s="146">
        <v>5</v>
      </c>
      <c r="J9" s="146">
        <v>125</v>
      </c>
      <c r="L9" s="151" t="s">
        <v>327</v>
      </c>
      <c r="M9" s="151" t="s">
        <v>153</v>
      </c>
      <c r="N9" s="161"/>
      <c r="O9" s="161"/>
      <c r="P9" s="161"/>
      <c r="Q9" s="161"/>
      <c r="R9" s="161"/>
      <c r="S9" s="161"/>
      <c r="T9" s="161"/>
      <c r="U9" s="161"/>
      <c r="V9" s="161"/>
      <c r="W9" s="161"/>
      <c r="X9" s="161"/>
      <c r="Y9" s="161" t="s">
        <v>151</v>
      </c>
      <c r="Z9" s="161"/>
      <c r="AA9" s="161" t="s">
        <v>151</v>
      </c>
      <c r="AB9" s="161"/>
      <c r="AC9" s="161"/>
      <c r="AD9" s="161" t="s">
        <v>151</v>
      </c>
      <c r="AE9" s="161"/>
      <c r="AF9" s="161"/>
      <c r="AG9" s="161"/>
      <c r="AH9" s="161"/>
      <c r="AI9" s="161"/>
      <c r="AJ9" s="161"/>
      <c r="AK9" s="161"/>
      <c r="AL9" s="161"/>
      <c r="AM9" s="194">
        <f t="shared" si="0"/>
        <v>3</v>
      </c>
    </row>
    <row r="10" spans="1:39" x14ac:dyDescent="0.25">
      <c r="D10" s="156">
        <f>COUNTA(D4:D9)</f>
        <v>6</v>
      </c>
      <c r="E10" s="193">
        <f>SUM(E4:E9)</f>
        <v>10</v>
      </c>
      <c r="F10" s="193">
        <f t="shared" ref="F10:J10" si="1">SUM(F4:F9)</f>
        <v>2</v>
      </c>
      <c r="G10" s="193">
        <f t="shared" si="1"/>
        <v>2</v>
      </c>
      <c r="H10" s="193">
        <f t="shared" si="1"/>
        <v>12</v>
      </c>
      <c r="I10" s="193">
        <f t="shared" si="1"/>
        <v>20</v>
      </c>
      <c r="J10" s="193">
        <f t="shared" si="1"/>
        <v>500</v>
      </c>
      <c r="L10" s="151" t="s">
        <v>328</v>
      </c>
      <c r="M10" s="151" t="s">
        <v>42</v>
      </c>
      <c r="N10" s="161"/>
      <c r="O10" s="161"/>
      <c r="P10" s="161"/>
      <c r="Q10" s="161"/>
      <c r="R10" s="161"/>
      <c r="S10" s="161"/>
      <c r="T10" s="161"/>
      <c r="U10" s="161"/>
      <c r="V10" s="161" t="s">
        <v>151</v>
      </c>
      <c r="W10" s="161" t="s">
        <v>151</v>
      </c>
      <c r="X10" s="161"/>
      <c r="Y10" s="161"/>
      <c r="Z10" s="161"/>
      <c r="AA10" s="161"/>
      <c r="AB10" s="161"/>
      <c r="AC10" s="161"/>
      <c r="AD10" s="161"/>
      <c r="AE10" s="161" t="s">
        <v>151</v>
      </c>
      <c r="AF10" s="161"/>
      <c r="AG10" s="161"/>
      <c r="AH10" s="161"/>
      <c r="AI10" s="161"/>
      <c r="AJ10" s="161"/>
      <c r="AK10" s="161"/>
      <c r="AL10" s="161"/>
      <c r="AM10" s="194">
        <f t="shared" si="0"/>
        <v>3</v>
      </c>
    </row>
    <row r="11" spans="1:39" x14ac:dyDescent="0.25">
      <c r="C11" s="186" t="s">
        <v>349</v>
      </c>
      <c r="D11" s="187" t="s">
        <v>105</v>
      </c>
      <c r="E11" s="188">
        <v>2</v>
      </c>
      <c r="F11" s="188">
        <v>2</v>
      </c>
      <c r="G11" s="188">
        <v>0</v>
      </c>
      <c r="H11" s="188">
        <v>3</v>
      </c>
      <c r="I11" s="188">
        <v>5</v>
      </c>
      <c r="J11" s="188">
        <v>125</v>
      </c>
      <c r="L11" s="151" t="s">
        <v>329</v>
      </c>
      <c r="M11" s="151" t="s">
        <v>49</v>
      </c>
      <c r="N11" s="161"/>
      <c r="O11" s="161"/>
      <c r="P11" s="161"/>
      <c r="Q11" s="161"/>
      <c r="R11" s="161"/>
      <c r="S11" s="161"/>
      <c r="T11" s="161"/>
      <c r="U11" s="161" t="s">
        <v>151</v>
      </c>
      <c r="V11" s="161"/>
      <c r="W11" s="161"/>
      <c r="X11" s="161"/>
      <c r="Y11" s="161"/>
      <c r="Z11" s="161"/>
      <c r="AA11" s="161"/>
      <c r="AB11" s="161"/>
      <c r="AC11" s="161"/>
      <c r="AD11" s="161" t="s">
        <v>151</v>
      </c>
      <c r="AE11" s="161" t="s">
        <v>151</v>
      </c>
      <c r="AF11" s="161"/>
      <c r="AG11" s="161"/>
      <c r="AH11" s="161"/>
      <c r="AI11" s="161"/>
      <c r="AJ11" s="161"/>
      <c r="AK11" s="161"/>
      <c r="AL11" s="161"/>
      <c r="AM11" s="194">
        <f t="shared" si="0"/>
        <v>3</v>
      </c>
    </row>
    <row r="12" spans="1:39" x14ac:dyDescent="0.25">
      <c r="C12" s="187" t="s">
        <v>350</v>
      </c>
      <c r="D12" s="187" t="s">
        <v>187</v>
      </c>
      <c r="E12" s="188">
        <v>2</v>
      </c>
      <c r="F12" s="188">
        <v>2</v>
      </c>
      <c r="G12" s="188">
        <v>0</v>
      </c>
      <c r="H12" s="188">
        <v>3</v>
      </c>
      <c r="I12" s="188">
        <v>5</v>
      </c>
      <c r="J12" s="188">
        <v>125</v>
      </c>
      <c r="L12" s="151" t="s">
        <v>330</v>
      </c>
      <c r="M12" s="151" t="s">
        <v>51</v>
      </c>
      <c r="N12" s="161"/>
      <c r="O12" s="161"/>
      <c r="P12" s="161"/>
      <c r="Q12" s="161"/>
      <c r="R12" s="161"/>
      <c r="S12" s="161"/>
      <c r="T12" s="161"/>
      <c r="U12" s="161"/>
      <c r="V12" s="161" t="s">
        <v>151</v>
      </c>
      <c r="W12" s="161" t="s">
        <v>151</v>
      </c>
      <c r="X12" s="161"/>
      <c r="Y12" s="161"/>
      <c r="Z12" s="161"/>
      <c r="AA12" s="161"/>
      <c r="AB12" s="161"/>
      <c r="AC12" s="161"/>
      <c r="AD12" s="161"/>
      <c r="AE12" s="161" t="s">
        <v>151</v>
      </c>
      <c r="AF12" s="161"/>
      <c r="AG12" s="161"/>
      <c r="AH12" s="161"/>
      <c r="AI12" s="161"/>
      <c r="AJ12" s="161"/>
      <c r="AK12" s="161"/>
      <c r="AL12" s="161"/>
      <c r="AM12" s="194">
        <f t="shared" si="0"/>
        <v>3</v>
      </c>
    </row>
    <row r="13" spans="1:39" x14ac:dyDescent="0.25">
      <c r="C13" s="187" t="s">
        <v>351</v>
      </c>
      <c r="D13" s="187" t="s">
        <v>188</v>
      </c>
      <c r="E13" s="188">
        <v>2</v>
      </c>
      <c r="F13" s="188">
        <v>2</v>
      </c>
      <c r="G13" s="188">
        <v>0</v>
      </c>
      <c r="H13" s="188">
        <v>3</v>
      </c>
      <c r="I13" s="188">
        <v>5</v>
      </c>
      <c r="J13" s="188">
        <v>125</v>
      </c>
      <c r="L13" s="151" t="s">
        <v>331</v>
      </c>
      <c r="M13" s="151" t="s">
        <v>154</v>
      </c>
      <c r="N13" s="161"/>
      <c r="O13" s="161"/>
      <c r="P13" s="161"/>
      <c r="Q13" s="161"/>
      <c r="R13" s="161"/>
      <c r="S13" s="161"/>
      <c r="T13" s="161"/>
      <c r="U13" s="161"/>
      <c r="V13" s="161" t="s">
        <v>151</v>
      </c>
      <c r="W13" s="161" t="s">
        <v>151</v>
      </c>
      <c r="X13" s="161"/>
      <c r="Y13" s="161"/>
      <c r="Z13" s="161"/>
      <c r="AA13" s="161"/>
      <c r="AB13" s="161"/>
      <c r="AC13" s="161"/>
      <c r="AD13" s="161"/>
      <c r="AE13" s="161" t="s">
        <v>151</v>
      </c>
      <c r="AF13" s="161"/>
      <c r="AG13" s="161"/>
      <c r="AH13" s="161"/>
      <c r="AI13" s="161"/>
      <c r="AJ13" s="161"/>
      <c r="AK13" s="161"/>
      <c r="AL13" s="161"/>
      <c r="AM13" s="194">
        <f t="shared" si="0"/>
        <v>3</v>
      </c>
    </row>
    <row r="14" spans="1:39" x14ac:dyDescent="0.25">
      <c r="C14" s="187" t="s">
        <v>355</v>
      </c>
      <c r="D14" s="187" t="s">
        <v>189</v>
      </c>
      <c r="E14" s="188">
        <v>2</v>
      </c>
      <c r="F14" s="188">
        <v>2</v>
      </c>
      <c r="G14" s="188">
        <v>0</v>
      </c>
      <c r="H14" s="188">
        <v>3</v>
      </c>
      <c r="I14" s="188">
        <v>5</v>
      </c>
      <c r="J14" s="188">
        <v>125</v>
      </c>
      <c r="L14" s="151" t="s">
        <v>332</v>
      </c>
      <c r="M14" s="151" t="s">
        <v>155</v>
      </c>
      <c r="N14" s="161"/>
      <c r="O14" s="161"/>
      <c r="P14" s="161"/>
      <c r="Q14" s="161"/>
      <c r="R14" s="161"/>
      <c r="S14" s="161"/>
      <c r="T14" s="161"/>
      <c r="U14" s="161" t="s">
        <v>151</v>
      </c>
      <c r="V14" s="161"/>
      <c r="W14" s="161"/>
      <c r="X14" s="161"/>
      <c r="Y14" s="161"/>
      <c r="Z14" s="161"/>
      <c r="AA14" s="161"/>
      <c r="AB14" s="161"/>
      <c r="AC14" s="161"/>
      <c r="AD14" s="161" t="s">
        <v>151</v>
      </c>
      <c r="AE14" s="161"/>
      <c r="AF14" s="161" t="s">
        <v>151</v>
      </c>
      <c r="AG14" s="161"/>
      <c r="AH14" s="161"/>
      <c r="AI14" s="161"/>
      <c r="AJ14" s="161"/>
      <c r="AK14" s="161"/>
      <c r="AL14" s="161"/>
      <c r="AM14" s="194">
        <f t="shared" si="0"/>
        <v>3</v>
      </c>
    </row>
    <row r="15" spans="1:39" x14ac:dyDescent="0.25">
      <c r="C15" s="187" t="s">
        <v>358</v>
      </c>
      <c r="D15" s="187" t="s">
        <v>31</v>
      </c>
      <c r="E15" s="188">
        <v>2</v>
      </c>
      <c r="F15" s="188">
        <v>0</v>
      </c>
      <c r="G15" s="188">
        <v>2</v>
      </c>
      <c r="H15" s="188">
        <v>3</v>
      </c>
      <c r="I15" s="188">
        <v>5</v>
      </c>
      <c r="J15" s="188">
        <v>125</v>
      </c>
      <c r="L15" s="151" t="s">
        <v>333</v>
      </c>
      <c r="M15" s="151" t="s">
        <v>156</v>
      </c>
      <c r="N15" s="161"/>
      <c r="O15" s="161"/>
      <c r="P15" s="161"/>
      <c r="Q15" s="161"/>
      <c r="R15" s="161"/>
      <c r="S15" s="161"/>
      <c r="T15" s="161"/>
      <c r="U15" s="161"/>
      <c r="V15" s="161" t="s">
        <v>151</v>
      </c>
      <c r="W15" s="161"/>
      <c r="X15" s="161"/>
      <c r="Y15" s="161"/>
      <c r="Z15" s="161"/>
      <c r="AA15" s="161"/>
      <c r="AB15" s="161"/>
      <c r="AC15" s="161"/>
      <c r="AD15" s="161" t="s">
        <v>151</v>
      </c>
      <c r="AE15" s="161"/>
      <c r="AF15" s="161" t="s">
        <v>151</v>
      </c>
      <c r="AG15" s="161"/>
      <c r="AH15" s="161"/>
      <c r="AI15" s="161"/>
      <c r="AJ15" s="161"/>
      <c r="AK15" s="161"/>
      <c r="AL15" s="161"/>
      <c r="AM15" s="194">
        <f t="shared" si="0"/>
        <v>3</v>
      </c>
    </row>
    <row r="16" spans="1:39" x14ac:dyDescent="0.25">
      <c r="C16" s="187" t="s">
        <v>190</v>
      </c>
      <c r="D16" s="187" t="s">
        <v>29</v>
      </c>
      <c r="E16" s="188">
        <v>2</v>
      </c>
      <c r="F16" s="188">
        <v>2</v>
      </c>
      <c r="G16" s="188">
        <v>1</v>
      </c>
      <c r="H16" s="188">
        <v>3</v>
      </c>
      <c r="I16" s="188">
        <v>5</v>
      </c>
      <c r="J16" s="188">
        <v>125</v>
      </c>
      <c r="L16" s="151" t="s">
        <v>334</v>
      </c>
      <c r="M16" s="151" t="s">
        <v>53</v>
      </c>
      <c r="N16" s="161"/>
      <c r="O16" s="161"/>
      <c r="P16" s="161"/>
      <c r="Q16" s="161"/>
      <c r="R16" s="161"/>
      <c r="S16" s="161"/>
      <c r="T16" s="161" t="s">
        <v>151</v>
      </c>
      <c r="U16" s="161"/>
      <c r="V16" s="161"/>
      <c r="W16" s="161"/>
      <c r="X16" s="161"/>
      <c r="Y16" s="161"/>
      <c r="Z16" s="161"/>
      <c r="AA16" s="161"/>
      <c r="AB16" s="161"/>
      <c r="AC16" s="161"/>
      <c r="AD16" s="161" t="s">
        <v>151</v>
      </c>
      <c r="AE16" s="161" t="s">
        <v>151</v>
      </c>
      <c r="AF16" s="161"/>
      <c r="AG16" s="161"/>
      <c r="AH16" s="161"/>
      <c r="AI16" s="161"/>
      <c r="AJ16" s="161"/>
      <c r="AK16" s="161"/>
      <c r="AL16" s="161"/>
      <c r="AM16" s="194">
        <f t="shared" si="0"/>
        <v>3</v>
      </c>
    </row>
    <row r="17" spans="3:39" x14ac:dyDescent="0.25">
      <c r="C17" s="187" t="s">
        <v>184</v>
      </c>
      <c r="D17" s="187" t="s">
        <v>185</v>
      </c>
      <c r="E17" s="188">
        <v>2</v>
      </c>
      <c r="F17" s="188">
        <v>0</v>
      </c>
      <c r="G17" s="188">
        <v>2</v>
      </c>
      <c r="H17" s="188">
        <v>3</v>
      </c>
      <c r="I17" s="188">
        <v>5</v>
      </c>
      <c r="J17" s="188">
        <v>125</v>
      </c>
      <c r="L17" s="151" t="s">
        <v>335</v>
      </c>
      <c r="M17" s="151" t="s">
        <v>157</v>
      </c>
      <c r="N17" s="161"/>
      <c r="O17" s="161"/>
      <c r="P17" s="161"/>
      <c r="Q17" s="161"/>
      <c r="R17" s="161"/>
      <c r="S17" s="161"/>
      <c r="T17" s="161"/>
      <c r="U17" s="161"/>
      <c r="V17" s="161"/>
      <c r="W17" s="161"/>
      <c r="X17" s="161"/>
      <c r="Y17" s="161" t="s">
        <v>151</v>
      </c>
      <c r="Z17" s="161" t="s">
        <v>151</v>
      </c>
      <c r="AA17" s="161"/>
      <c r="AB17" s="161"/>
      <c r="AC17" s="161"/>
      <c r="AD17" s="161"/>
      <c r="AE17" s="161"/>
      <c r="AF17" s="161" t="s">
        <v>151</v>
      </c>
      <c r="AG17" s="161"/>
      <c r="AH17" s="161"/>
      <c r="AI17" s="161"/>
      <c r="AJ17" s="161"/>
      <c r="AK17" s="161"/>
      <c r="AL17" s="161"/>
      <c r="AM17" s="194">
        <f t="shared" si="0"/>
        <v>3</v>
      </c>
    </row>
    <row r="18" spans="3:39" x14ac:dyDescent="0.25">
      <c r="C18" s="187" t="s">
        <v>273</v>
      </c>
      <c r="D18" s="187" t="s">
        <v>97</v>
      </c>
      <c r="E18" s="188">
        <v>2</v>
      </c>
      <c r="F18" s="188">
        <v>2</v>
      </c>
      <c r="G18" s="188">
        <v>0</v>
      </c>
      <c r="H18" s="188">
        <v>3</v>
      </c>
      <c r="I18" s="188">
        <v>5</v>
      </c>
      <c r="J18" s="188">
        <v>125</v>
      </c>
      <c r="L18" s="151" t="s">
        <v>336</v>
      </c>
      <c r="M18" s="151" t="s">
        <v>158</v>
      </c>
      <c r="N18" s="161"/>
      <c r="O18" s="161"/>
      <c r="P18" s="161"/>
      <c r="Q18" s="161"/>
      <c r="R18" s="161"/>
      <c r="S18" s="161"/>
      <c r="T18" s="161"/>
      <c r="U18" s="161"/>
      <c r="V18" s="161"/>
      <c r="W18" s="161"/>
      <c r="X18" s="161"/>
      <c r="Y18" s="161" t="s">
        <v>151</v>
      </c>
      <c r="Z18" s="161" t="s">
        <v>151</v>
      </c>
      <c r="AA18" s="161"/>
      <c r="AB18" s="161"/>
      <c r="AC18" s="161"/>
      <c r="AD18" s="161"/>
      <c r="AE18" s="161"/>
      <c r="AF18" s="161" t="s">
        <v>151</v>
      </c>
      <c r="AG18" s="161"/>
      <c r="AH18" s="161"/>
      <c r="AI18" s="161"/>
      <c r="AJ18" s="161"/>
      <c r="AK18" s="161"/>
      <c r="AL18" s="161"/>
      <c r="AM18" s="194">
        <f t="shared" si="0"/>
        <v>3</v>
      </c>
    </row>
    <row r="19" spans="3:39" x14ac:dyDescent="0.25">
      <c r="C19" s="187" t="s">
        <v>274</v>
      </c>
      <c r="D19" s="187" t="s">
        <v>120</v>
      </c>
      <c r="E19" s="188">
        <v>2</v>
      </c>
      <c r="F19" s="188">
        <v>2</v>
      </c>
      <c r="G19" s="188">
        <v>0</v>
      </c>
      <c r="H19" s="188">
        <v>3</v>
      </c>
      <c r="I19" s="188">
        <v>5</v>
      </c>
      <c r="J19" s="188">
        <v>125</v>
      </c>
      <c r="L19" s="151" t="s">
        <v>337</v>
      </c>
      <c r="M19" s="151" t="s">
        <v>159</v>
      </c>
      <c r="N19" s="161"/>
      <c r="O19" s="161"/>
      <c r="P19" s="161"/>
      <c r="Q19" s="161"/>
      <c r="R19" s="161"/>
      <c r="S19" s="161"/>
      <c r="T19" s="161"/>
      <c r="U19" s="161"/>
      <c r="V19" s="161" t="s">
        <v>151</v>
      </c>
      <c r="W19" s="161" t="s">
        <v>151</v>
      </c>
      <c r="X19" s="161"/>
      <c r="Y19" s="161"/>
      <c r="Z19" s="161"/>
      <c r="AA19" s="161"/>
      <c r="AB19" s="161"/>
      <c r="AC19" s="161"/>
      <c r="AD19" s="161"/>
      <c r="AE19" s="161" t="s">
        <v>151</v>
      </c>
      <c r="AF19" s="161"/>
      <c r="AG19" s="161"/>
      <c r="AH19" s="161"/>
      <c r="AI19" s="161"/>
      <c r="AJ19" s="161"/>
      <c r="AK19" s="161"/>
      <c r="AL19" s="161"/>
      <c r="AM19" s="194">
        <f t="shared" si="0"/>
        <v>3</v>
      </c>
    </row>
    <row r="20" spans="3:39" x14ac:dyDescent="0.25">
      <c r="C20" s="187" t="s">
        <v>357</v>
      </c>
      <c r="D20" s="187" t="s">
        <v>186</v>
      </c>
      <c r="E20" s="188">
        <v>2</v>
      </c>
      <c r="F20" s="188">
        <v>2</v>
      </c>
      <c r="G20" s="188">
        <v>0</v>
      </c>
      <c r="H20" s="188">
        <v>3</v>
      </c>
      <c r="I20" s="188">
        <v>5</v>
      </c>
      <c r="J20" s="188">
        <v>125</v>
      </c>
      <c r="L20" s="151" t="s">
        <v>338</v>
      </c>
      <c r="M20" s="151" t="s">
        <v>50</v>
      </c>
      <c r="N20" s="161"/>
      <c r="O20" s="161"/>
      <c r="P20" s="161"/>
      <c r="Q20" s="161"/>
      <c r="R20" s="161"/>
      <c r="S20" s="161"/>
      <c r="T20" s="161"/>
      <c r="U20" s="161" t="s">
        <v>151</v>
      </c>
      <c r="V20" s="161"/>
      <c r="W20" s="161"/>
      <c r="X20" s="161"/>
      <c r="Y20" s="161"/>
      <c r="Z20" s="161"/>
      <c r="AA20" s="161"/>
      <c r="AB20" s="161"/>
      <c r="AC20" s="161"/>
      <c r="AD20" s="161" t="s">
        <v>151</v>
      </c>
      <c r="AE20" s="161" t="s">
        <v>151</v>
      </c>
      <c r="AF20" s="161"/>
      <c r="AG20" s="161"/>
      <c r="AH20" s="161"/>
      <c r="AI20" s="161"/>
      <c r="AJ20" s="161"/>
      <c r="AK20" s="161"/>
      <c r="AL20" s="161"/>
      <c r="AM20" s="194">
        <f t="shared" si="0"/>
        <v>3</v>
      </c>
    </row>
    <row r="21" spans="3:39" x14ac:dyDescent="0.25">
      <c r="D21" s="156">
        <f>COUNTA(D11:D20)</f>
        <v>10</v>
      </c>
      <c r="E21" s="193">
        <f>SUM(E11:E20)</f>
        <v>20</v>
      </c>
      <c r="F21" s="193">
        <f t="shared" ref="F21:J21" si="2">SUM(F11:F20)</f>
        <v>16</v>
      </c>
      <c r="G21" s="193">
        <f t="shared" si="2"/>
        <v>5</v>
      </c>
      <c r="H21" s="193">
        <f t="shared" si="2"/>
        <v>30</v>
      </c>
      <c r="I21" s="193">
        <f t="shared" si="2"/>
        <v>50</v>
      </c>
      <c r="J21" s="193">
        <f t="shared" si="2"/>
        <v>1250</v>
      </c>
      <c r="L21" s="151" t="s">
        <v>339</v>
      </c>
      <c r="M21" s="151" t="s">
        <v>160</v>
      </c>
      <c r="N21" s="161"/>
      <c r="O21" s="161"/>
      <c r="P21" s="161"/>
      <c r="Q21" s="161"/>
      <c r="R21" s="161"/>
      <c r="S21" s="161"/>
      <c r="T21" s="161"/>
      <c r="U21" s="161"/>
      <c r="V21" s="161" t="s">
        <v>151</v>
      </c>
      <c r="W21" s="161"/>
      <c r="X21" s="161"/>
      <c r="Y21" s="161"/>
      <c r="Z21" s="161"/>
      <c r="AA21" s="161"/>
      <c r="AB21" s="161"/>
      <c r="AC21" s="161"/>
      <c r="AD21" s="161"/>
      <c r="AE21" s="161" t="s">
        <v>151</v>
      </c>
      <c r="AF21" s="161" t="s">
        <v>151</v>
      </c>
      <c r="AG21" s="161"/>
      <c r="AH21" s="161"/>
      <c r="AI21" s="161"/>
      <c r="AJ21" s="161"/>
      <c r="AK21" s="161"/>
      <c r="AL21" s="161"/>
      <c r="AM21" s="194">
        <f t="shared" si="0"/>
        <v>3</v>
      </c>
    </row>
    <row r="22" spans="3:39" x14ac:dyDescent="0.25">
      <c r="C22" s="189" t="s">
        <v>322</v>
      </c>
      <c r="D22" s="189" t="s">
        <v>32</v>
      </c>
      <c r="E22" s="190">
        <v>2</v>
      </c>
      <c r="F22" s="190">
        <v>2</v>
      </c>
      <c r="G22" s="190">
        <v>0</v>
      </c>
      <c r="H22" s="190">
        <v>3</v>
      </c>
      <c r="I22" s="190">
        <v>5</v>
      </c>
      <c r="J22" s="190">
        <v>125</v>
      </c>
      <c r="L22" s="151" t="s">
        <v>340</v>
      </c>
      <c r="M22" s="151" t="s">
        <v>71</v>
      </c>
      <c r="N22" s="161"/>
      <c r="O22" s="161"/>
      <c r="P22" s="161"/>
      <c r="Q22" s="161"/>
      <c r="R22" s="161"/>
      <c r="S22" s="161"/>
      <c r="T22" s="161"/>
      <c r="U22" s="161"/>
      <c r="V22" s="161"/>
      <c r="W22" s="161"/>
      <c r="X22" s="161" t="s">
        <v>151</v>
      </c>
      <c r="Y22" s="161"/>
      <c r="Z22" s="161"/>
      <c r="AA22" s="161" t="s">
        <v>151</v>
      </c>
      <c r="AB22" s="161"/>
      <c r="AC22" s="161" t="s">
        <v>151</v>
      </c>
      <c r="AD22" s="161"/>
      <c r="AE22" s="161" t="s">
        <v>151</v>
      </c>
      <c r="AF22" s="161"/>
      <c r="AG22" s="161"/>
      <c r="AH22" s="161"/>
      <c r="AI22" s="161"/>
      <c r="AJ22" s="161"/>
      <c r="AK22" s="161"/>
      <c r="AL22" s="161"/>
      <c r="AM22" s="194">
        <f t="shared" si="0"/>
        <v>4</v>
      </c>
    </row>
    <row r="23" spans="3:39" x14ac:dyDescent="0.25">
      <c r="C23" s="189" t="s">
        <v>323</v>
      </c>
      <c r="D23" s="189" t="s">
        <v>45</v>
      </c>
      <c r="E23" s="190">
        <v>2</v>
      </c>
      <c r="F23" s="190">
        <v>2</v>
      </c>
      <c r="G23" s="190">
        <v>0</v>
      </c>
      <c r="H23" s="190">
        <v>3</v>
      </c>
      <c r="I23" s="190">
        <v>5</v>
      </c>
      <c r="J23" s="190">
        <v>125</v>
      </c>
      <c r="L23" s="151" t="s">
        <v>341</v>
      </c>
      <c r="M23" s="151" t="s">
        <v>161</v>
      </c>
      <c r="N23" s="161"/>
      <c r="O23" s="161"/>
      <c r="P23" s="161"/>
      <c r="Q23" s="161"/>
      <c r="R23" s="161"/>
      <c r="S23" s="161"/>
      <c r="T23" s="161"/>
      <c r="U23" s="161"/>
      <c r="V23" s="161"/>
      <c r="W23" s="161"/>
      <c r="X23" s="161"/>
      <c r="Y23" s="161"/>
      <c r="Z23" s="161"/>
      <c r="AA23" s="161" t="s">
        <v>151</v>
      </c>
      <c r="AB23" s="161" t="s">
        <v>151</v>
      </c>
      <c r="AC23" s="161" t="s">
        <v>151</v>
      </c>
      <c r="AD23" s="161"/>
      <c r="AE23" s="161" t="s">
        <v>151</v>
      </c>
      <c r="AF23" s="161"/>
      <c r="AG23" s="161"/>
      <c r="AH23" s="161"/>
      <c r="AI23" s="161"/>
      <c r="AJ23" s="161"/>
      <c r="AK23" s="161"/>
      <c r="AL23" s="161"/>
      <c r="AM23" s="194">
        <f t="shared" si="0"/>
        <v>4</v>
      </c>
    </row>
    <row r="24" spans="3:39" x14ac:dyDescent="0.25">
      <c r="C24" s="189" t="s">
        <v>324</v>
      </c>
      <c r="D24" s="189" t="s">
        <v>43</v>
      </c>
      <c r="E24" s="190">
        <v>2</v>
      </c>
      <c r="F24" s="190">
        <v>1</v>
      </c>
      <c r="G24" s="190">
        <v>1</v>
      </c>
      <c r="H24" s="190">
        <v>3</v>
      </c>
      <c r="I24" s="190">
        <v>5</v>
      </c>
      <c r="J24" s="190">
        <v>125</v>
      </c>
      <c r="L24" s="151" t="s">
        <v>162</v>
      </c>
      <c r="M24" s="151" t="s">
        <v>163</v>
      </c>
      <c r="N24" s="161"/>
      <c r="O24" s="161"/>
      <c r="P24" s="161"/>
      <c r="Q24" s="161"/>
      <c r="R24" s="161"/>
      <c r="S24" s="161"/>
      <c r="T24" s="161" t="s">
        <v>151</v>
      </c>
      <c r="U24" s="161" t="s">
        <v>151</v>
      </c>
      <c r="V24" s="161"/>
      <c r="W24" s="161" t="s">
        <v>151</v>
      </c>
      <c r="X24" s="161"/>
      <c r="Y24" s="161"/>
      <c r="Z24" s="161"/>
      <c r="AA24" s="161"/>
      <c r="AB24" s="161"/>
      <c r="AC24" s="161"/>
      <c r="AD24" s="161"/>
      <c r="AE24" s="161"/>
      <c r="AF24" s="161"/>
      <c r="AG24" s="161"/>
      <c r="AH24" s="161"/>
      <c r="AI24" s="161"/>
      <c r="AJ24" s="161"/>
      <c r="AK24" s="161"/>
      <c r="AL24" s="161"/>
      <c r="AM24" s="194">
        <f t="shared" si="0"/>
        <v>3</v>
      </c>
    </row>
    <row r="25" spans="3:39" x14ac:dyDescent="0.25">
      <c r="C25" s="189" t="s">
        <v>325</v>
      </c>
      <c r="D25" s="189" t="s">
        <v>40</v>
      </c>
      <c r="E25" s="190">
        <v>2</v>
      </c>
      <c r="F25" s="190">
        <v>2</v>
      </c>
      <c r="G25" s="190">
        <v>0</v>
      </c>
      <c r="H25" s="190">
        <v>3</v>
      </c>
      <c r="I25" s="190">
        <v>5</v>
      </c>
      <c r="J25" s="190">
        <v>125</v>
      </c>
      <c r="L25" s="151" t="s">
        <v>352</v>
      </c>
      <c r="M25" s="151" t="s">
        <v>26</v>
      </c>
      <c r="N25" s="161"/>
      <c r="O25" s="161"/>
      <c r="P25" s="161"/>
      <c r="Q25" s="161"/>
      <c r="R25" s="161"/>
      <c r="S25" s="161"/>
      <c r="T25" s="161" t="s">
        <v>151</v>
      </c>
      <c r="U25" s="161" t="s">
        <v>151</v>
      </c>
      <c r="V25" s="161"/>
      <c r="W25" s="161"/>
      <c r="X25" s="161" t="s">
        <v>151</v>
      </c>
      <c r="Y25" s="161"/>
      <c r="Z25" s="161"/>
      <c r="AA25" s="161"/>
      <c r="AB25" s="161"/>
      <c r="AC25" s="161"/>
      <c r="AD25" s="161"/>
      <c r="AE25" s="161"/>
      <c r="AF25" s="161"/>
      <c r="AG25" s="161"/>
      <c r="AH25" s="161"/>
      <c r="AI25" s="161"/>
      <c r="AJ25" s="161"/>
      <c r="AK25" s="161"/>
      <c r="AL25" s="161"/>
      <c r="AM25" s="194">
        <f t="shared" si="0"/>
        <v>3</v>
      </c>
    </row>
    <row r="26" spans="3:39" x14ac:dyDescent="0.25">
      <c r="C26" s="189" t="s">
        <v>326</v>
      </c>
      <c r="D26" s="189" t="s">
        <v>152</v>
      </c>
      <c r="E26" s="190">
        <v>1</v>
      </c>
      <c r="F26" s="190">
        <v>2</v>
      </c>
      <c r="G26" s="190">
        <v>2</v>
      </c>
      <c r="H26" s="190">
        <v>3</v>
      </c>
      <c r="I26" s="190">
        <v>5</v>
      </c>
      <c r="J26" s="190">
        <v>125</v>
      </c>
      <c r="L26" s="151" t="s">
        <v>353</v>
      </c>
      <c r="M26" s="151" t="s">
        <v>38</v>
      </c>
      <c r="N26" s="161"/>
      <c r="O26" s="161"/>
      <c r="P26" s="161"/>
      <c r="Q26" s="161"/>
      <c r="R26" s="161"/>
      <c r="S26" s="161"/>
      <c r="T26" s="161" t="s">
        <v>151</v>
      </c>
      <c r="U26" s="161" t="s">
        <v>151</v>
      </c>
      <c r="V26" s="161"/>
      <c r="W26" s="161"/>
      <c r="X26" s="161" t="s">
        <v>151</v>
      </c>
      <c r="Y26" s="161"/>
      <c r="Z26" s="161"/>
      <c r="AA26" s="161"/>
      <c r="AB26" s="161"/>
      <c r="AC26" s="161"/>
      <c r="AD26" s="161"/>
      <c r="AE26" s="161"/>
      <c r="AF26" s="161"/>
      <c r="AG26" s="161"/>
      <c r="AH26" s="161"/>
      <c r="AI26" s="161"/>
      <c r="AJ26" s="161"/>
      <c r="AK26" s="161"/>
      <c r="AL26" s="161"/>
      <c r="AM26" s="194">
        <f t="shared" si="0"/>
        <v>3</v>
      </c>
    </row>
    <row r="27" spans="3:39" x14ac:dyDescent="0.25">
      <c r="C27" s="189" t="s">
        <v>327</v>
      </c>
      <c r="D27" s="189" t="s">
        <v>153</v>
      </c>
      <c r="E27" s="190">
        <v>1</v>
      </c>
      <c r="F27" s="190">
        <v>2</v>
      </c>
      <c r="G27" s="190">
        <v>2</v>
      </c>
      <c r="H27" s="190">
        <v>3</v>
      </c>
      <c r="I27" s="190">
        <v>5</v>
      </c>
      <c r="J27" s="190">
        <v>125</v>
      </c>
      <c r="L27" s="151" t="s">
        <v>354</v>
      </c>
      <c r="M27" s="151" t="s">
        <v>65</v>
      </c>
      <c r="N27" s="161"/>
      <c r="O27" s="161"/>
      <c r="P27" s="161"/>
      <c r="Q27" s="161"/>
      <c r="R27" s="161"/>
      <c r="S27" s="161"/>
      <c r="T27" s="161"/>
      <c r="U27" s="161" t="s">
        <v>151</v>
      </c>
      <c r="V27" s="161" t="s">
        <v>151</v>
      </c>
      <c r="W27" s="161"/>
      <c r="X27" s="161"/>
      <c r="Y27" s="161"/>
      <c r="Z27" s="161"/>
      <c r="AA27" s="161"/>
      <c r="AB27" s="161"/>
      <c r="AC27" s="161"/>
      <c r="AD27" s="161"/>
      <c r="AE27" s="161"/>
      <c r="AF27" s="161"/>
      <c r="AG27" s="161"/>
      <c r="AH27" s="161"/>
      <c r="AI27" s="161"/>
      <c r="AJ27" s="161"/>
      <c r="AK27" s="161"/>
      <c r="AL27" s="161"/>
      <c r="AM27" s="194">
        <f t="shared" si="0"/>
        <v>2</v>
      </c>
    </row>
    <row r="28" spans="3:39" x14ac:dyDescent="0.25">
      <c r="C28" s="189" t="s">
        <v>328</v>
      </c>
      <c r="D28" s="189" t="s">
        <v>42</v>
      </c>
      <c r="E28" s="190">
        <v>2</v>
      </c>
      <c r="F28" s="190">
        <v>2</v>
      </c>
      <c r="G28" s="190">
        <v>0</v>
      </c>
      <c r="H28" s="190">
        <v>3</v>
      </c>
      <c r="I28" s="190">
        <v>5</v>
      </c>
      <c r="J28" s="190">
        <v>125</v>
      </c>
      <c r="L28" s="149" t="s">
        <v>367</v>
      </c>
      <c r="M28" s="149" t="s">
        <v>74</v>
      </c>
      <c r="N28" s="195"/>
      <c r="O28" s="195"/>
      <c r="P28" s="195"/>
      <c r="Q28" s="195"/>
      <c r="R28" s="195"/>
      <c r="S28" s="195"/>
      <c r="T28" s="195"/>
      <c r="U28" s="195"/>
      <c r="V28" s="195"/>
      <c r="W28" s="195"/>
      <c r="X28" s="195"/>
      <c r="Y28" s="195"/>
      <c r="Z28" s="195"/>
      <c r="AA28" s="195"/>
      <c r="AB28" s="195"/>
      <c r="AC28" s="195"/>
      <c r="AD28" s="145" t="s">
        <v>151</v>
      </c>
      <c r="AE28" s="195"/>
      <c r="AF28" s="195"/>
      <c r="AG28" s="195"/>
      <c r="AH28" s="145" t="s">
        <v>151</v>
      </c>
      <c r="AI28" s="195"/>
      <c r="AJ28" s="195"/>
      <c r="AK28" s="195"/>
      <c r="AL28" s="195"/>
      <c r="AM28" s="194">
        <f t="shared" si="0"/>
        <v>2</v>
      </c>
    </row>
    <row r="29" spans="3:39" x14ac:dyDescent="0.25">
      <c r="C29" s="189" t="s">
        <v>329</v>
      </c>
      <c r="D29" s="189" t="s">
        <v>49</v>
      </c>
      <c r="E29" s="190">
        <v>2</v>
      </c>
      <c r="F29" s="190">
        <v>1</v>
      </c>
      <c r="G29" s="190">
        <v>1</v>
      </c>
      <c r="H29" s="190">
        <v>3</v>
      </c>
      <c r="I29" s="190">
        <v>5</v>
      </c>
      <c r="J29" s="190">
        <v>125</v>
      </c>
      <c r="L29" s="149" t="s">
        <v>342</v>
      </c>
      <c r="M29" s="149" t="s">
        <v>194</v>
      </c>
      <c r="N29" s="195"/>
      <c r="O29" s="195"/>
      <c r="P29" s="195"/>
      <c r="Q29" s="195"/>
      <c r="R29" s="195"/>
      <c r="S29" s="195"/>
      <c r="T29" s="195"/>
      <c r="U29" s="195"/>
      <c r="V29" s="195"/>
      <c r="W29" s="195"/>
      <c r="X29" s="195"/>
      <c r="Y29" s="195"/>
      <c r="Z29" s="195"/>
      <c r="AA29" s="195"/>
      <c r="AB29" s="195"/>
      <c r="AC29" s="195"/>
      <c r="AD29" s="195"/>
      <c r="AE29" s="195"/>
      <c r="AF29" s="145" t="s">
        <v>151</v>
      </c>
      <c r="AG29" s="145" t="s">
        <v>151</v>
      </c>
      <c r="AH29" s="195"/>
      <c r="AI29" s="195"/>
      <c r="AJ29" s="145" t="s">
        <v>151</v>
      </c>
      <c r="AK29" s="195"/>
      <c r="AL29" s="195"/>
      <c r="AM29" s="194">
        <f t="shared" si="0"/>
        <v>3</v>
      </c>
    </row>
    <row r="30" spans="3:39" x14ac:dyDescent="0.25">
      <c r="C30" s="189" t="s">
        <v>330</v>
      </c>
      <c r="D30" s="189" t="s">
        <v>51</v>
      </c>
      <c r="E30" s="190">
        <v>2</v>
      </c>
      <c r="F30" s="190">
        <v>2</v>
      </c>
      <c r="G30" s="190">
        <v>0</v>
      </c>
      <c r="H30" s="190">
        <v>3</v>
      </c>
      <c r="I30" s="190">
        <v>5</v>
      </c>
      <c r="J30" s="190">
        <v>125</v>
      </c>
      <c r="L30" s="149" t="s">
        <v>368</v>
      </c>
      <c r="M30" s="149" t="s">
        <v>195</v>
      </c>
      <c r="N30" s="195"/>
      <c r="O30" s="195"/>
      <c r="P30" s="195"/>
      <c r="Q30" s="195"/>
      <c r="R30" s="195"/>
      <c r="S30" s="195"/>
      <c r="T30" s="195"/>
      <c r="U30" s="195"/>
      <c r="V30" s="195"/>
      <c r="W30" s="195"/>
      <c r="X30" s="195"/>
      <c r="Y30" s="195"/>
      <c r="Z30" s="195"/>
      <c r="AA30" s="195"/>
      <c r="AB30" s="195"/>
      <c r="AC30" s="195"/>
      <c r="AD30" s="145" t="s">
        <v>151</v>
      </c>
      <c r="AE30" s="195"/>
      <c r="AF30" s="195"/>
      <c r="AG30" s="195"/>
      <c r="AH30" s="195"/>
      <c r="AI30" s="145" t="s">
        <v>151</v>
      </c>
      <c r="AJ30" s="195"/>
      <c r="AK30" s="195"/>
      <c r="AL30" s="195"/>
      <c r="AM30" s="194">
        <f t="shared" si="0"/>
        <v>2</v>
      </c>
    </row>
    <row r="31" spans="3:39" x14ac:dyDescent="0.25">
      <c r="C31" s="189" t="s">
        <v>331</v>
      </c>
      <c r="D31" s="189" t="s">
        <v>154</v>
      </c>
      <c r="E31" s="190">
        <v>2</v>
      </c>
      <c r="F31" s="190">
        <v>2</v>
      </c>
      <c r="G31" s="190">
        <v>0</v>
      </c>
      <c r="H31" s="190">
        <v>3</v>
      </c>
      <c r="I31" s="190">
        <v>5</v>
      </c>
      <c r="J31" s="190">
        <v>125</v>
      </c>
      <c r="L31" s="149" t="s">
        <v>369</v>
      </c>
      <c r="M31" s="149" t="s">
        <v>196</v>
      </c>
      <c r="N31" s="195"/>
      <c r="O31" s="195"/>
      <c r="P31" s="195"/>
      <c r="Q31" s="195"/>
      <c r="R31" s="195"/>
      <c r="S31" s="195"/>
      <c r="T31" s="195"/>
      <c r="U31" s="195"/>
      <c r="V31" s="145" t="s">
        <v>151</v>
      </c>
      <c r="W31" s="145"/>
      <c r="X31" s="195"/>
      <c r="Y31" s="195"/>
      <c r="Z31" s="195"/>
      <c r="AA31" s="195"/>
      <c r="AB31" s="195"/>
      <c r="AC31" s="195"/>
      <c r="AD31" s="195"/>
      <c r="AE31" s="145" t="s">
        <v>151</v>
      </c>
      <c r="AF31" s="195"/>
      <c r="AG31" s="195"/>
      <c r="AH31" s="145" t="s">
        <v>151</v>
      </c>
      <c r="AI31" s="195"/>
      <c r="AJ31" s="195"/>
      <c r="AK31" s="195"/>
      <c r="AL31" s="145" t="s">
        <v>151</v>
      </c>
      <c r="AM31" s="194">
        <f t="shared" si="0"/>
        <v>4</v>
      </c>
    </row>
    <row r="32" spans="3:39" x14ac:dyDescent="0.25">
      <c r="C32" s="189" t="s">
        <v>332</v>
      </c>
      <c r="D32" s="189" t="s">
        <v>155</v>
      </c>
      <c r="E32" s="190">
        <v>2</v>
      </c>
      <c r="F32" s="190">
        <v>1</v>
      </c>
      <c r="G32" s="190">
        <v>1</v>
      </c>
      <c r="H32" s="190">
        <v>3</v>
      </c>
      <c r="I32" s="190">
        <v>5</v>
      </c>
      <c r="J32" s="190">
        <v>125</v>
      </c>
      <c r="L32" s="149" t="s">
        <v>360</v>
      </c>
      <c r="M32" s="149" t="s">
        <v>175</v>
      </c>
      <c r="N32" s="195"/>
      <c r="O32" s="195"/>
      <c r="P32" s="195"/>
      <c r="Q32" s="195"/>
      <c r="R32" s="195"/>
      <c r="S32" s="195"/>
      <c r="T32" s="195"/>
      <c r="U32" s="195"/>
      <c r="V32" s="195"/>
      <c r="W32" s="195"/>
      <c r="X32" s="195"/>
      <c r="Y32" s="195"/>
      <c r="Z32" s="195"/>
      <c r="AA32" s="195"/>
      <c r="AB32" s="195"/>
      <c r="AC32" s="195"/>
      <c r="AD32" s="145" t="s">
        <v>151</v>
      </c>
      <c r="AE32" s="195"/>
      <c r="AF32" s="145" t="s">
        <v>151</v>
      </c>
      <c r="AG32" s="195"/>
      <c r="AH32" s="195"/>
      <c r="AI32" s="195"/>
      <c r="AJ32" s="195"/>
      <c r="AK32" s="145" t="s">
        <v>151</v>
      </c>
      <c r="AL32" s="195"/>
      <c r="AM32" s="194">
        <f t="shared" si="0"/>
        <v>3</v>
      </c>
    </row>
    <row r="33" spans="3:39" x14ac:dyDescent="0.25">
      <c r="C33" s="189" t="s">
        <v>333</v>
      </c>
      <c r="D33" s="189" t="s">
        <v>156</v>
      </c>
      <c r="E33" s="190">
        <v>2</v>
      </c>
      <c r="F33" s="190">
        <v>2</v>
      </c>
      <c r="G33" s="190">
        <v>0</v>
      </c>
      <c r="H33" s="190">
        <v>3</v>
      </c>
      <c r="I33" s="190">
        <v>5</v>
      </c>
      <c r="J33" s="190">
        <v>125</v>
      </c>
      <c r="L33" s="149" t="s">
        <v>370</v>
      </c>
      <c r="M33" s="149" t="s">
        <v>197</v>
      </c>
      <c r="N33" s="195"/>
      <c r="O33" s="195"/>
      <c r="P33" s="195"/>
      <c r="Q33" s="195"/>
      <c r="R33" s="195"/>
      <c r="S33" s="195"/>
      <c r="T33" s="195"/>
      <c r="U33" s="195"/>
      <c r="V33" s="195"/>
      <c r="W33" s="195"/>
      <c r="X33" s="195"/>
      <c r="Y33" s="195"/>
      <c r="Z33" s="195"/>
      <c r="AA33" s="195"/>
      <c r="AB33" s="195"/>
      <c r="AC33" s="195"/>
      <c r="AD33" s="145" t="s">
        <v>151</v>
      </c>
      <c r="AE33" s="195"/>
      <c r="AF33" s="195"/>
      <c r="AG33" s="195"/>
      <c r="AH33" s="195"/>
      <c r="AI33" s="195"/>
      <c r="AJ33" s="195"/>
      <c r="AK33" s="145" t="s">
        <v>151</v>
      </c>
      <c r="AL33" s="145" t="s">
        <v>151</v>
      </c>
      <c r="AM33" s="194">
        <f t="shared" si="0"/>
        <v>3</v>
      </c>
    </row>
    <row r="34" spans="3:39" x14ac:dyDescent="0.25">
      <c r="C34" s="189" t="s">
        <v>334</v>
      </c>
      <c r="D34" s="189" t="s">
        <v>53</v>
      </c>
      <c r="E34" s="190">
        <v>2</v>
      </c>
      <c r="F34" s="190">
        <v>1</v>
      </c>
      <c r="G34" s="190">
        <v>1</v>
      </c>
      <c r="H34" s="190">
        <v>3</v>
      </c>
      <c r="I34" s="190">
        <v>5</v>
      </c>
      <c r="J34" s="190">
        <v>125</v>
      </c>
      <c r="L34" s="149" t="s">
        <v>371</v>
      </c>
      <c r="M34" s="149" t="s">
        <v>199</v>
      </c>
      <c r="N34" s="195"/>
      <c r="O34" s="195"/>
      <c r="P34" s="195"/>
      <c r="Q34" s="195"/>
      <c r="R34" s="195"/>
      <c r="S34" s="195"/>
      <c r="T34" s="195"/>
      <c r="U34" s="195"/>
      <c r="V34" s="195"/>
      <c r="W34" s="195"/>
      <c r="X34" s="195"/>
      <c r="Y34" s="195"/>
      <c r="Z34" s="195"/>
      <c r="AA34" s="195"/>
      <c r="AB34" s="195"/>
      <c r="AC34" s="195"/>
      <c r="AD34" s="195"/>
      <c r="AE34" s="195"/>
      <c r="AF34" s="145" t="s">
        <v>151</v>
      </c>
      <c r="AG34" s="195"/>
      <c r="AH34" s="195"/>
      <c r="AI34" s="145" t="s">
        <v>151</v>
      </c>
      <c r="AJ34" s="195"/>
      <c r="AK34" s="145" t="s">
        <v>151</v>
      </c>
      <c r="AL34" s="195"/>
      <c r="AM34" s="194">
        <f t="shared" si="0"/>
        <v>3</v>
      </c>
    </row>
    <row r="35" spans="3:39" ht="13.8" x14ac:dyDescent="0.3">
      <c r="C35" s="189" t="s">
        <v>335</v>
      </c>
      <c r="D35" s="189" t="s">
        <v>192</v>
      </c>
      <c r="E35" s="190"/>
      <c r="F35" s="190"/>
      <c r="G35" s="190"/>
      <c r="H35" s="190">
        <v>0</v>
      </c>
      <c r="I35" s="190">
        <v>0</v>
      </c>
      <c r="J35" s="190"/>
      <c r="L35" s="281" t="s">
        <v>384</v>
      </c>
      <c r="M35" s="282" t="s">
        <v>385</v>
      </c>
      <c r="N35" s="281"/>
      <c r="O35" s="281"/>
      <c r="P35" s="281"/>
      <c r="Q35" s="281"/>
      <c r="R35" s="281"/>
      <c r="S35" s="281"/>
      <c r="T35" s="287" t="s">
        <v>151</v>
      </c>
      <c r="U35" s="287"/>
      <c r="V35" s="287"/>
      <c r="W35" s="287"/>
      <c r="X35" s="287"/>
      <c r="Y35" s="287"/>
      <c r="Z35" s="287"/>
      <c r="AA35" s="287"/>
      <c r="AB35" s="287"/>
      <c r="AC35" s="287"/>
      <c r="AD35" s="287" t="s">
        <v>151</v>
      </c>
      <c r="AE35" s="287"/>
      <c r="AF35" s="287"/>
      <c r="AG35" s="287"/>
      <c r="AH35" s="287"/>
      <c r="AI35" s="287" t="s">
        <v>151</v>
      </c>
      <c r="AJ35" s="287"/>
      <c r="AK35" s="287"/>
      <c r="AL35" s="287"/>
      <c r="AM35" s="194">
        <f t="shared" ref="AM35:AM46" si="3">COUNTIF(N35:AL35,"*X*")</f>
        <v>3</v>
      </c>
    </row>
    <row r="36" spans="3:39" x14ac:dyDescent="0.25">
      <c r="C36" s="189" t="s">
        <v>336</v>
      </c>
      <c r="D36" s="189" t="s">
        <v>193</v>
      </c>
      <c r="E36" s="190"/>
      <c r="F36" s="190"/>
      <c r="G36" s="190"/>
      <c r="H36" s="190">
        <v>0</v>
      </c>
      <c r="I36" s="190">
        <v>0</v>
      </c>
      <c r="J36" s="190"/>
      <c r="L36" s="281" t="s">
        <v>386</v>
      </c>
      <c r="M36" s="281" t="s">
        <v>388</v>
      </c>
      <c r="N36" s="281"/>
      <c r="O36" s="281"/>
      <c r="P36" s="281"/>
      <c r="Q36" s="281"/>
      <c r="R36" s="281"/>
      <c r="S36" s="281"/>
      <c r="T36" s="287" t="s">
        <v>151</v>
      </c>
      <c r="U36" s="287"/>
      <c r="V36" s="287"/>
      <c r="W36" s="287"/>
      <c r="X36" s="287"/>
      <c r="Y36" s="287"/>
      <c r="Z36" s="287"/>
      <c r="AA36" s="287"/>
      <c r="AB36" s="287"/>
      <c r="AC36" s="287"/>
      <c r="AD36" s="287" t="s">
        <v>151</v>
      </c>
      <c r="AE36" s="287"/>
      <c r="AF36" s="287"/>
      <c r="AG36" s="287"/>
      <c r="AH36" s="287"/>
      <c r="AI36" s="287" t="s">
        <v>151</v>
      </c>
      <c r="AJ36" s="287"/>
      <c r="AK36" s="287"/>
      <c r="AL36" s="287"/>
      <c r="AM36" s="194">
        <f t="shared" si="3"/>
        <v>3</v>
      </c>
    </row>
    <row r="37" spans="3:39" x14ac:dyDescent="0.25">
      <c r="C37" s="189" t="s">
        <v>337</v>
      </c>
      <c r="D37" s="189" t="s">
        <v>159</v>
      </c>
      <c r="E37" s="190">
        <v>2</v>
      </c>
      <c r="F37" s="190">
        <v>2</v>
      </c>
      <c r="G37" s="190">
        <v>0</v>
      </c>
      <c r="H37" s="190">
        <v>3</v>
      </c>
      <c r="I37" s="190">
        <v>5</v>
      </c>
      <c r="J37" s="190">
        <v>125</v>
      </c>
      <c r="L37" s="281" t="s">
        <v>387</v>
      </c>
      <c r="M37" s="281" t="s">
        <v>389</v>
      </c>
      <c r="N37" s="281"/>
      <c r="O37" s="281"/>
      <c r="P37" s="281"/>
      <c r="Q37" s="281"/>
      <c r="R37" s="281"/>
      <c r="S37" s="281"/>
      <c r="T37" s="287" t="s">
        <v>151</v>
      </c>
      <c r="U37" s="287"/>
      <c r="V37" s="287"/>
      <c r="W37" s="287"/>
      <c r="X37" s="287"/>
      <c r="Y37" s="287"/>
      <c r="Z37" s="287"/>
      <c r="AA37" s="287"/>
      <c r="AB37" s="287"/>
      <c r="AC37" s="287"/>
      <c r="AD37" s="287" t="s">
        <v>151</v>
      </c>
      <c r="AE37" s="287"/>
      <c r="AF37" s="287"/>
      <c r="AG37" s="287"/>
      <c r="AH37" s="287"/>
      <c r="AI37" s="287" t="s">
        <v>151</v>
      </c>
      <c r="AJ37" s="287"/>
      <c r="AK37" s="287"/>
      <c r="AL37" s="287"/>
      <c r="AM37" s="194">
        <f t="shared" si="3"/>
        <v>3</v>
      </c>
    </row>
    <row r="38" spans="3:39" x14ac:dyDescent="0.25">
      <c r="C38" s="189" t="s">
        <v>338</v>
      </c>
      <c r="D38" s="189" t="s">
        <v>50</v>
      </c>
      <c r="E38" s="190">
        <v>2</v>
      </c>
      <c r="F38" s="190">
        <v>1</v>
      </c>
      <c r="G38" s="190">
        <v>1</v>
      </c>
      <c r="H38" s="190">
        <v>3</v>
      </c>
      <c r="I38" s="190">
        <v>5</v>
      </c>
      <c r="J38" s="190">
        <v>125</v>
      </c>
      <c r="L38" s="150" t="s">
        <v>359</v>
      </c>
      <c r="M38" s="150" t="s">
        <v>174</v>
      </c>
      <c r="N38" s="196"/>
      <c r="O38" s="196"/>
      <c r="P38" s="196"/>
      <c r="Q38" s="196"/>
      <c r="R38" s="196"/>
      <c r="S38" s="196"/>
      <c r="T38" s="196"/>
      <c r="U38" s="196"/>
      <c r="V38" s="196"/>
      <c r="W38" s="196"/>
      <c r="X38" s="196"/>
      <c r="Y38" s="196"/>
      <c r="Z38" s="197" t="s">
        <v>151</v>
      </c>
      <c r="AA38" s="196"/>
      <c r="AB38" s="196"/>
      <c r="AC38" s="196"/>
      <c r="AD38" s="197" t="s">
        <v>151</v>
      </c>
      <c r="AE38" s="196"/>
      <c r="AF38" s="196"/>
      <c r="AG38" s="196"/>
      <c r="AH38" s="196"/>
      <c r="AI38" s="196"/>
      <c r="AJ38" s="196"/>
      <c r="AK38" s="196"/>
      <c r="AL38" s="196"/>
      <c r="AM38" s="194">
        <f t="shared" si="3"/>
        <v>2</v>
      </c>
    </row>
    <row r="39" spans="3:39" x14ac:dyDescent="0.25">
      <c r="C39" s="189" t="s">
        <v>339</v>
      </c>
      <c r="D39" s="189" t="s">
        <v>160</v>
      </c>
      <c r="E39" s="190">
        <v>2</v>
      </c>
      <c r="F39" s="190">
        <v>1</v>
      </c>
      <c r="G39" s="190">
        <v>1</v>
      </c>
      <c r="H39" s="190">
        <v>3</v>
      </c>
      <c r="I39" s="190">
        <v>5</v>
      </c>
      <c r="J39" s="190">
        <v>125</v>
      </c>
      <c r="L39" s="150" t="s">
        <v>343</v>
      </c>
      <c r="M39" s="150" t="s">
        <v>57</v>
      </c>
      <c r="N39" s="196"/>
      <c r="O39" s="196"/>
      <c r="P39" s="196"/>
      <c r="Q39" s="196"/>
      <c r="R39" s="196"/>
      <c r="S39" s="196"/>
      <c r="T39" s="196"/>
      <c r="U39" s="196"/>
      <c r="V39" s="196"/>
      <c r="W39" s="196"/>
      <c r="X39" s="196"/>
      <c r="Y39" s="196"/>
      <c r="Z39" s="196"/>
      <c r="AA39" s="196"/>
      <c r="AB39" s="196"/>
      <c r="AC39" s="196"/>
      <c r="AD39" s="196"/>
      <c r="AE39" s="196"/>
      <c r="AF39" s="196"/>
      <c r="AG39" s="197" t="s">
        <v>151</v>
      </c>
      <c r="AH39" s="196"/>
      <c r="AI39" s="196"/>
      <c r="AJ39" s="197" t="s">
        <v>151</v>
      </c>
      <c r="AK39" s="196"/>
      <c r="AL39" s="196"/>
      <c r="AM39" s="194">
        <f t="shared" si="3"/>
        <v>2</v>
      </c>
    </row>
    <row r="40" spans="3:39" x14ac:dyDescent="0.25">
      <c r="C40" s="189" t="s">
        <v>340</v>
      </c>
      <c r="D40" s="189" t="s">
        <v>71</v>
      </c>
      <c r="E40" s="190">
        <v>1</v>
      </c>
      <c r="F40" s="190">
        <v>0</v>
      </c>
      <c r="G40" s="190">
        <v>4</v>
      </c>
      <c r="H40" s="190">
        <v>3</v>
      </c>
      <c r="I40" s="190">
        <v>5</v>
      </c>
      <c r="J40" s="190">
        <v>125</v>
      </c>
      <c r="L40" s="150" t="s">
        <v>344</v>
      </c>
      <c r="M40" s="150" t="s">
        <v>164</v>
      </c>
      <c r="N40" s="196"/>
      <c r="O40" s="196"/>
      <c r="P40" s="196"/>
      <c r="Q40" s="196"/>
      <c r="R40" s="196"/>
      <c r="S40" s="196"/>
      <c r="T40" s="196"/>
      <c r="U40" s="196"/>
      <c r="V40" s="196"/>
      <c r="W40" s="196"/>
      <c r="X40" s="196"/>
      <c r="Y40" s="196"/>
      <c r="Z40" s="196"/>
      <c r="AA40" s="196"/>
      <c r="AB40" s="196"/>
      <c r="AC40" s="196"/>
      <c r="AD40" s="196"/>
      <c r="AE40" s="196"/>
      <c r="AF40" s="197" t="s">
        <v>151</v>
      </c>
      <c r="AG40" s="196"/>
      <c r="AH40" s="196"/>
      <c r="AI40" s="196"/>
      <c r="AJ40" s="197" t="s">
        <v>151</v>
      </c>
      <c r="AK40" s="196" t="s">
        <v>151</v>
      </c>
      <c r="AL40" s="196"/>
      <c r="AM40" s="194">
        <f t="shared" si="3"/>
        <v>3</v>
      </c>
    </row>
    <row r="41" spans="3:39" x14ac:dyDescent="0.25">
      <c r="C41" s="189" t="s">
        <v>341</v>
      </c>
      <c r="D41" s="189" t="s">
        <v>161</v>
      </c>
      <c r="E41" s="190">
        <v>1</v>
      </c>
      <c r="F41" s="190">
        <v>0</v>
      </c>
      <c r="G41" s="190">
        <v>4</v>
      </c>
      <c r="H41" s="190">
        <v>3</v>
      </c>
      <c r="I41" s="190">
        <v>5</v>
      </c>
      <c r="J41" s="190">
        <v>125</v>
      </c>
      <c r="L41" s="150" t="s">
        <v>361</v>
      </c>
      <c r="M41" s="150" t="s">
        <v>200</v>
      </c>
      <c r="N41" s="196"/>
      <c r="O41" s="196"/>
      <c r="P41" s="196"/>
      <c r="Q41" s="196"/>
      <c r="R41" s="196"/>
      <c r="S41" s="196"/>
      <c r="T41" s="196"/>
      <c r="U41" s="196"/>
      <c r="V41" s="196"/>
      <c r="W41" s="196"/>
      <c r="X41" s="196"/>
      <c r="Y41" s="196"/>
      <c r="Z41" s="196"/>
      <c r="AA41" s="196"/>
      <c r="AB41" s="196"/>
      <c r="AC41" s="196"/>
      <c r="AD41" s="197" t="s">
        <v>151</v>
      </c>
      <c r="AE41" s="196"/>
      <c r="AF41" s="196"/>
      <c r="AG41" s="196"/>
      <c r="AH41" s="196"/>
      <c r="AI41" s="196"/>
      <c r="AJ41" s="196"/>
      <c r="AK41" s="197" t="s">
        <v>151</v>
      </c>
      <c r="AL41" s="196"/>
      <c r="AM41" s="194">
        <f t="shared" si="3"/>
        <v>2</v>
      </c>
    </row>
    <row r="42" spans="3:39" x14ac:dyDescent="0.25">
      <c r="C42" s="189" t="s">
        <v>162</v>
      </c>
      <c r="D42" s="189" t="s">
        <v>163</v>
      </c>
      <c r="E42" s="190">
        <v>2</v>
      </c>
      <c r="F42" s="190">
        <v>1</v>
      </c>
      <c r="G42" s="190">
        <v>1</v>
      </c>
      <c r="H42" s="190">
        <v>3</v>
      </c>
      <c r="I42" s="190">
        <v>5</v>
      </c>
      <c r="J42" s="190">
        <v>125</v>
      </c>
      <c r="L42" s="150" t="s">
        <v>362</v>
      </c>
      <c r="M42" s="150" t="s">
        <v>69</v>
      </c>
      <c r="N42" s="196"/>
      <c r="O42" s="196"/>
      <c r="P42" s="196"/>
      <c r="Q42" s="196"/>
      <c r="R42" s="196"/>
      <c r="S42" s="196"/>
      <c r="T42" s="196"/>
      <c r="U42" s="196"/>
      <c r="V42" s="196"/>
      <c r="W42" s="196"/>
      <c r="X42" s="196"/>
      <c r="Y42" s="196"/>
      <c r="Z42" s="196"/>
      <c r="AA42" s="196"/>
      <c r="AB42" s="196"/>
      <c r="AC42" s="196"/>
      <c r="AD42" s="196"/>
      <c r="AE42" s="196"/>
      <c r="AF42" s="196"/>
      <c r="AG42" s="197" t="s">
        <v>151</v>
      </c>
      <c r="AH42" s="196"/>
      <c r="AI42" s="197" t="s">
        <v>151</v>
      </c>
      <c r="AJ42" s="197" t="s">
        <v>151</v>
      </c>
      <c r="AK42" s="196"/>
      <c r="AL42" s="197" t="s">
        <v>151</v>
      </c>
      <c r="AM42" s="194">
        <f t="shared" si="3"/>
        <v>4</v>
      </c>
    </row>
    <row r="43" spans="3:39" x14ac:dyDescent="0.25">
      <c r="C43" s="189" t="s">
        <v>352</v>
      </c>
      <c r="D43" s="189" t="s">
        <v>26</v>
      </c>
      <c r="E43" s="190">
        <v>2</v>
      </c>
      <c r="F43" s="190">
        <v>2</v>
      </c>
      <c r="G43" s="190">
        <v>0</v>
      </c>
      <c r="H43" s="190">
        <v>3</v>
      </c>
      <c r="I43" s="190">
        <v>5</v>
      </c>
      <c r="J43" s="190">
        <v>125</v>
      </c>
      <c r="L43" s="150" t="s">
        <v>364</v>
      </c>
      <c r="M43" s="150" t="s">
        <v>66</v>
      </c>
      <c r="N43" s="196"/>
      <c r="O43" s="196"/>
      <c r="P43" s="196"/>
      <c r="Q43" s="196"/>
      <c r="R43" s="196"/>
      <c r="S43" s="196"/>
      <c r="T43" s="196"/>
      <c r="U43" s="196"/>
      <c r="V43" s="196"/>
      <c r="W43" s="196"/>
      <c r="X43" s="196"/>
      <c r="Y43" s="196"/>
      <c r="Z43" s="196"/>
      <c r="AA43" s="196"/>
      <c r="AB43" s="196"/>
      <c r="AC43" s="196"/>
      <c r="AD43" s="197" t="s">
        <v>151</v>
      </c>
      <c r="AE43" s="197" t="s">
        <v>151</v>
      </c>
      <c r="AF43" s="196"/>
      <c r="AG43" s="196"/>
      <c r="AH43" s="196"/>
      <c r="AI43" s="196"/>
      <c r="AJ43" s="197" t="s">
        <v>151</v>
      </c>
      <c r="AK43" s="196"/>
      <c r="AL43" s="196"/>
      <c r="AM43" s="194">
        <f t="shared" si="3"/>
        <v>3</v>
      </c>
    </row>
    <row r="44" spans="3:39" x14ac:dyDescent="0.25">
      <c r="C44" s="189" t="s">
        <v>353</v>
      </c>
      <c r="D44" s="189" t="s">
        <v>38</v>
      </c>
      <c r="E44" s="190">
        <v>2</v>
      </c>
      <c r="F44" s="190">
        <v>2</v>
      </c>
      <c r="G44" s="190">
        <v>0</v>
      </c>
      <c r="H44" s="190">
        <v>3</v>
      </c>
      <c r="I44" s="190">
        <v>5</v>
      </c>
      <c r="J44" s="190">
        <v>125</v>
      </c>
      <c r="L44" s="150" t="s">
        <v>365</v>
      </c>
      <c r="M44" s="150" t="s">
        <v>126</v>
      </c>
      <c r="N44" s="196"/>
      <c r="O44" s="196"/>
      <c r="P44" s="196"/>
      <c r="Q44" s="196"/>
      <c r="R44" s="196"/>
      <c r="S44" s="196"/>
      <c r="T44" s="196"/>
      <c r="U44" s="196"/>
      <c r="V44" s="196"/>
      <c r="W44" s="196"/>
      <c r="X44" s="196"/>
      <c r="Y44" s="196"/>
      <c r="Z44" s="196"/>
      <c r="AA44" s="196"/>
      <c r="AB44" s="196"/>
      <c r="AC44" s="196"/>
      <c r="AD44" s="196"/>
      <c r="AE44" s="196"/>
      <c r="AF44" s="197" t="s">
        <v>151</v>
      </c>
      <c r="AG44" s="196"/>
      <c r="AH44" s="196"/>
      <c r="AI44" s="196"/>
      <c r="AJ44" s="196"/>
      <c r="AK44" s="197" t="s">
        <v>151</v>
      </c>
      <c r="AL44" s="196"/>
      <c r="AM44" s="194">
        <f t="shared" si="3"/>
        <v>2</v>
      </c>
    </row>
    <row r="45" spans="3:39" x14ac:dyDescent="0.25">
      <c r="C45" s="189" t="s">
        <v>354</v>
      </c>
      <c r="D45" s="189" t="s">
        <v>65</v>
      </c>
      <c r="E45" s="190">
        <v>2</v>
      </c>
      <c r="F45" s="190">
        <v>2</v>
      </c>
      <c r="G45" s="190">
        <v>0</v>
      </c>
      <c r="H45" s="190">
        <v>3</v>
      </c>
      <c r="I45" s="190">
        <v>5</v>
      </c>
      <c r="J45" s="190">
        <v>125</v>
      </c>
      <c r="L45" s="150" t="s">
        <v>366</v>
      </c>
      <c r="M45" s="150" t="s">
        <v>91</v>
      </c>
      <c r="N45" s="196"/>
      <c r="O45" s="196"/>
      <c r="P45" s="196"/>
      <c r="Q45" s="196"/>
      <c r="R45" s="196"/>
      <c r="S45" s="196"/>
      <c r="T45" s="196"/>
      <c r="U45" s="196"/>
      <c r="V45" s="196"/>
      <c r="W45" s="196"/>
      <c r="X45" s="196"/>
      <c r="Y45" s="196"/>
      <c r="Z45" s="196"/>
      <c r="AA45" s="196"/>
      <c r="AB45" s="196"/>
      <c r="AC45" s="196"/>
      <c r="AD45" s="197" t="s">
        <v>151</v>
      </c>
      <c r="AE45" s="196"/>
      <c r="AF45" s="196"/>
      <c r="AG45" s="196"/>
      <c r="AH45" s="196"/>
      <c r="AI45" s="196"/>
      <c r="AJ45" s="197" t="s">
        <v>151</v>
      </c>
      <c r="AK45" s="197" t="s">
        <v>151</v>
      </c>
      <c r="AL45" s="196"/>
      <c r="AM45" s="194">
        <f t="shared" si="3"/>
        <v>3</v>
      </c>
    </row>
    <row r="46" spans="3:39" x14ac:dyDescent="0.25">
      <c r="D46" s="156">
        <f>COUNTA(D22:D45)</f>
        <v>24</v>
      </c>
      <c r="E46" s="193">
        <f>SUM(E22:E45)</f>
        <v>40</v>
      </c>
      <c r="F46" s="193">
        <f t="shared" ref="F46:J46" si="4">SUM(F22:F45)</f>
        <v>33</v>
      </c>
      <c r="G46" s="193">
        <f t="shared" si="4"/>
        <v>19</v>
      </c>
      <c r="H46" s="193">
        <f t="shared" si="4"/>
        <v>66</v>
      </c>
      <c r="I46" s="193">
        <f t="shared" si="4"/>
        <v>110</v>
      </c>
      <c r="J46" s="193">
        <f t="shared" si="4"/>
        <v>2750</v>
      </c>
      <c r="L46" s="150" t="s">
        <v>246</v>
      </c>
      <c r="M46" s="150" t="s">
        <v>201</v>
      </c>
      <c r="N46" s="196"/>
      <c r="O46" s="196"/>
      <c r="P46" s="196"/>
      <c r="Q46" s="196"/>
      <c r="R46" s="196"/>
      <c r="S46" s="196"/>
      <c r="T46" s="196"/>
      <c r="U46" s="196" t="s">
        <v>151</v>
      </c>
      <c r="V46" s="196" t="s">
        <v>151</v>
      </c>
      <c r="W46" s="196"/>
      <c r="X46" s="196"/>
      <c r="Y46" s="196"/>
      <c r="Z46" s="196"/>
      <c r="AA46" s="196"/>
      <c r="AB46" s="196"/>
      <c r="AC46" s="196"/>
      <c r="AD46" s="196"/>
      <c r="AE46" s="196"/>
      <c r="AF46" s="196"/>
      <c r="AG46" s="196"/>
      <c r="AH46" s="196"/>
      <c r="AI46" s="196"/>
      <c r="AJ46" s="196"/>
      <c r="AK46" s="197"/>
      <c r="AL46" s="196"/>
      <c r="AM46" s="194">
        <f t="shared" si="3"/>
        <v>2</v>
      </c>
    </row>
    <row r="47" spans="3:39" x14ac:dyDescent="0.25">
      <c r="C47" s="191" t="s">
        <v>367</v>
      </c>
      <c r="D47" s="191" t="s">
        <v>74</v>
      </c>
      <c r="E47" s="192">
        <v>2</v>
      </c>
      <c r="F47" s="192">
        <v>2</v>
      </c>
      <c r="G47" s="192">
        <v>0</v>
      </c>
      <c r="H47" s="192">
        <v>3</v>
      </c>
      <c r="I47" s="192">
        <v>5</v>
      </c>
      <c r="J47" s="192">
        <v>125</v>
      </c>
      <c r="N47" s="194">
        <f t="shared" ref="N47:AL47" si="5">COUNTIF(N4:N46,"*X*")</f>
        <v>0</v>
      </c>
      <c r="O47" s="194">
        <f t="shared" si="5"/>
        <v>0</v>
      </c>
      <c r="P47" s="194">
        <f t="shared" si="5"/>
        <v>0</v>
      </c>
      <c r="Q47" s="194">
        <f t="shared" si="5"/>
        <v>0</v>
      </c>
      <c r="R47" s="194">
        <f t="shared" si="5"/>
        <v>0</v>
      </c>
      <c r="S47" s="194">
        <f t="shared" si="5"/>
        <v>0</v>
      </c>
      <c r="T47" s="194">
        <f t="shared" si="5"/>
        <v>9</v>
      </c>
      <c r="U47" s="194">
        <f t="shared" si="5"/>
        <v>9</v>
      </c>
      <c r="V47" s="194">
        <f t="shared" si="5"/>
        <v>9</v>
      </c>
      <c r="W47" s="194">
        <f t="shared" si="5"/>
        <v>6</v>
      </c>
      <c r="X47" s="194">
        <f t="shared" si="5"/>
        <v>3</v>
      </c>
      <c r="Y47" s="194">
        <f t="shared" si="5"/>
        <v>4</v>
      </c>
      <c r="Z47" s="194">
        <f t="shared" si="5"/>
        <v>4</v>
      </c>
      <c r="AA47" s="194">
        <f t="shared" si="5"/>
        <v>3</v>
      </c>
      <c r="AB47" s="194">
        <f t="shared" si="5"/>
        <v>1</v>
      </c>
      <c r="AC47" s="194">
        <f t="shared" si="5"/>
        <v>2</v>
      </c>
      <c r="AD47" s="194">
        <f t="shared" si="5"/>
        <v>21</v>
      </c>
      <c r="AE47" s="194">
        <f t="shared" si="5"/>
        <v>14</v>
      </c>
      <c r="AF47" s="194">
        <f t="shared" si="5"/>
        <v>12</v>
      </c>
      <c r="AG47" s="194">
        <f t="shared" si="5"/>
        <v>4</v>
      </c>
      <c r="AH47" s="194">
        <f t="shared" si="5"/>
        <v>2</v>
      </c>
      <c r="AI47" s="194">
        <f t="shared" si="5"/>
        <v>6</v>
      </c>
      <c r="AJ47" s="194">
        <f t="shared" si="5"/>
        <v>6</v>
      </c>
      <c r="AK47" s="194">
        <f t="shared" si="5"/>
        <v>7</v>
      </c>
      <c r="AL47" s="194">
        <f t="shared" si="5"/>
        <v>3</v>
      </c>
    </row>
    <row r="48" spans="3:39" x14ac:dyDescent="0.25">
      <c r="C48" s="191" t="s">
        <v>342</v>
      </c>
      <c r="D48" s="191" t="s">
        <v>55</v>
      </c>
      <c r="E48" s="192">
        <v>2</v>
      </c>
      <c r="F48" s="192">
        <v>2</v>
      </c>
      <c r="G48" s="192">
        <v>0</v>
      </c>
      <c r="H48" s="192">
        <v>3</v>
      </c>
      <c r="I48" s="192">
        <v>5</v>
      </c>
      <c r="J48" s="192">
        <v>125</v>
      </c>
    </row>
    <row r="49" spans="3:12" x14ac:dyDescent="0.25">
      <c r="C49" s="191" t="s">
        <v>368</v>
      </c>
      <c r="D49" s="191" t="s">
        <v>76</v>
      </c>
      <c r="E49" s="192">
        <v>2</v>
      </c>
      <c r="F49" s="192">
        <v>1</v>
      </c>
      <c r="G49" s="192">
        <v>1</v>
      </c>
      <c r="H49" s="192">
        <v>3</v>
      </c>
      <c r="I49" s="192">
        <v>5</v>
      </c>
      <c r="J49" s="192">
        <v>125</v>
      </c>
    </row>
    <row r="50" spans="3:12" x14ac:dyDescent="0.25">
      <c r="C50" s="191" t="s">
        <v>369</v>
      </c>
      <c r="D50" s="191" t="s">
        <v>77</v>
      </c>
      <c r="E50" s="192">
        <v>2</v>
      </c>
      <c r="F50" s="192">
        <v>2</v>
      </c>
      <c r="G50" s="192">
        <v>0</v>
      </c>
      <c r="H50" s="192">
        <v>3</v>
      </c>
      <c r="I50" s="192">
        <v>5</v>
      </c>
      <c r="J50" s="192">
        <v>125</v>
      </c>
    </row>
    <row r="51" spans="3:12" x14ac:dyDescent="0.25">
      <c r="C51" s="191" t="s">
        <v>372</v>
      </c>
      <c r="D51" s="191" t="s">
        <v>93</v>
      </c>
      <c r="E51" s="192">
        <v>2</v>
      </c>
      <c r="F51" s="192">
        <v>2</v>
      </c>
      <c r="G51" s="192">
        <v>0</v>
      </c>
      <c r="H51" s="192">
        <v>3</v>
      </c>
      <c r="I51" s="192">
        <v>5</v>
      </c>
      <c r="J51" s="192">
        <v>125</v>
      </c>
    </row>
    <row r="52" spans="3:12" x14ac:dyDescent="0.25">
      <c r="C52" s="191" t="s">
        <v>370</v>
      </c>
      <c r="D52" s="191" t="s">
        <v>198</v>
      </c>
      <c r="E52" s="192">
        <v>2</v>
      </c>
      <c r="F52" s="192">
        <v>2</v>
      </c>
      <c r="G52" s="192">
        <v>0</v>
      </c>
      <c r="H52" s="192">
        <v>3</v>
      </c>
      <c r="I52" s="192">
        <v>5</v>
      </c>
      <c r="J52" s="192">
        <v>125</v>
      </c>
    </row>
    <row r="53" spans="3:12" x14ac:dyDescent="0.25">
      <c r="C53" s="191" t="s">
        <v>371</v>
      </c>
      <c r="D53" s="191" t="s">
        <v>75</v>
      </c>
      <c r="E53" s="192">
        <v>2</v>
      </c>
      <c r="F53" s="192">
        <v>2</v>
      </c>
      <c r="G53" s="192">
        <v>0</v>
      </c>
      <c r="H53" s="192">
        <v>3</v>
      </c>
      <c r="I53" s="192">
        <v>5</v>
      </c>
      <c r="J53" s="192">
        <v>125</v>
      </c>
    </row>
    <row r="54" spans="3:12" x14ac:dyDescent="0.25">
      <c r="C54" s="280" t="s">
        <v>381</v>
      </c>
      <c r="D54" s="280" t="s">
        <v>383</v>
      </c>
      <c r="E54" s="192">
        <v>2</v>
      </c>
      <c r="F54" s="277">
        <v>2</v>
      </c>
      <c r="G54" s="277">
        <v>0</v>
      </c>
      <c r="H54" s="192">
        <v>3</v>
      </c>
      <c r="I54" s="192">
        <v>5</v>
      </c>
      <c r="J54" s="192">
        <v>125</v>
      </c>
    </row>
    <row r="55" spans="3:12" x14ac:dyDescent="0.25">
      <c r="C55" s="280" t="s">
        <v>318</v>
      </c>
      <c r="D55" s="280" t="s">
        <v>116</v>
      </c>
      <c r="E55" s="192">
        <v>2</v>
      </c>
      <c r="F55" s="192">
        <v>1</v>
      </c>
      <c r="G55" s="192">
        <v>1</v>
      </c>
      <c r="H55" s="192">
        <v>3</v>
      </c>
      <c r="I55" s="192">
        <v>5</v>
      </c>
      <c r="J55" s="192">
        <v>125</v>
      </c>
    </row>
    <row r="56" spans="3:12" x14ac:dyDescent="0.25">
      <c r="C56" s="280" t="s">
        <v>319</v>
      </c>
      <c r="D56" s="280" t="s">
        <v>117</v>
      </c>
      <c r="E56" s="192">
        <v>2</v>
      </c>
      <c r="F56" s="192">
        <v>1</v>
      </c>
      <c r="G56" s="192">
        <v>1</v>
      </c>
      <c r="H56" s="192">
        <v>3</v>
      </c>
      <c r="I56" s="192">
        <v>5</v>
      </c>
      <c r="J56" s="192">
        <v>125</v>
      </c>
    </row>
    <row r="57" spans="3:12" x14ac:dyDescent="0.25">
      <c r="C57" s="280" t="s">
        <v>320</v>
      </c>
      <c r="D57" s="280" t="s">
        <v>118</v>
      </c>
      <c r="E57" s="192">
        <v>2</v>
      </c>
      <c r="F57" s="192">
        <v>1</v>
      </c>
      <c r="G57" s="192">
        <v>1</v>
      </c>
      <c r="H57" s="192">
        <v>3</v>
      </c>
      <c r="I57" s="192">
        <v>5</v>
      </c>
      <c r="J57" s="192">
        <v>125</v>
      </c>
    </row>
    <row r="58" spans="3:12" x14ac:dyDescent="0.25">
      <c r="C58" s="280" t="s">
        <v>321</v>
      </c>
      <c r="D58" s="280" t="s">
        <v>119</v>
      </c>
      <c r="E58" s="192">
        <v>2</v>
      </c>
      <c r="F58" s="192">
        <v>1</v>
      </c>
      <c r="G58" s="192">
        <v>1</v>
      </c>
      <c r="H58" s="192">
        <v>3</v>
      </c>
      <c r="I58" s="192">
        <v>5</v>
      </c>
      <c r="J58" s="192">
        <v>125</v>
      </c>
    </row>
    <row r="59" spans="3:12" x14ac:dyDescent="0.25">
      <c r="D59" s="156">
        <f>COUNTA(D47:D58)</f>
        <v>12</v>
      </c>
      <c r="E59" s="193">
        <f>SUM(E47:E58)</f>
        <v>24</v>
      </c>
      <c r="F59" s="193">
        <f t="shared" ref="F59:J59" si="6">SUM(F47:F58)</f>
        <v>19</v>
      </c>
      <c r="G59" s="193">
        <f t="shared" si="6"/>
        <v>5</v>
      </c>
      <c r="H59" s="193">
        <f t="shared" si="6"/>
        <v>36</v>
      </c>
      <c r="I59" s="193">
        <f t="shared" si="6"/>
        <v>60</v>
      </c>
      <c r="J59" s="193">
        <f t="shared" si="6"/>
        <v>1500</v>
      </c>
    </row>
    <row r="60" spans="3:12" ht="15" x14ac:dyDescent="0.25">
      <c r="D60" s="258">
        <f>D10+D21+D46+D59</f>
        <v>52</v>
      </c>
      <c r="E60" s="258">
        <f>E10+E21+E46+E59</f>
        <v>94</v>
      </c>
      <c r="F60" s="258">
        <f t="shared" ref="F60:J60" si="7">F10+F21+F46+F59</f>
        <v>70</v>
      </c>
      <c r="G60" s="258">
        <f t="shared" si="7"/>
        <v>31</v>
      </c>
      <c r="H60" s="258">
        <f t="shared" si="7"/>
        <v>144</v>
      </c>
      <c r="I60" s="258">
        <f t="shared" si="7"/>
        <v>240</v>
      </c>
      <c r="J60" s="258">
        <f t="shared" si="7"/>
        <v>6000</v>
      </c>
      <c r="L60" s="258">
        <f>SUM(E60:G60)</f>
        <v>195</v>
      </c>
    </row>
  </sheetData>
  <pageMargins left="0.16" right="0.16" top="1.07" bottom="0.16" header="0.16" footer="0.16"/>
  <pageSetup paperSize="9" scale="70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190867-42FD-4A60-A1CA-7D41ECDE762A}">
  <sheetPr>
    <tabColor rgb="FF00B050"/>
    <pageSetUpPr fitToPage="1"/>
  </sheetPr>
  <dimension ref="A2:AH81"/>
  <sheetViews>
    <sheetView topLeftCell="A28" zoomScale="55" zoomScaleNormal="55" workbookViewId="0">
      <selection activeCell="S67" sqref="S67"/>
    </sheetView>
  </sheetViews>
  <sheetFormatPr defaultRowHeight="14.4" x14ac:dyDescent="0.3"/>
  <cols>
    <col min="1" max="1" width="8.88671875" customWidth="1"/>
    <col min="3" max="3" width="49.6640625" customWidth="1"/>
    <col min="5" max="5" width="6.33203125" customWidth="1"/>
    <col min="6" max="6" width="8" customWidth="1"/>
    <col min="7" max="8" width="7.6640625" customWidth="1"/>
    <col min="9" max="9" width="7.33203125" customWidth="1"/>
    <col min="10" max="10" width="7.109375" customWidth="1"/>
    <col min="11" max="11" width="11.6640625" customWidth="1"/>
    <col min="12" max="12" width="8.77734375" bestFit="1" customWidth="1"/>
    <col min="13" max="13" width="9.77734375" customWidth="1"/>
    <col min="14" max="14" width="6.88671875" customWidth="1"/>
    <col min="15" max="15" width="6.21875" customWidth="1"/>
    <col min="16" max="16" width="6.33203125" customWidth="1"/>
    <col min="17" max="17" width="6.77734375" customWidth="1"/>
    <col min="20" max="20" width="53.33203125" customWidth="1"/>
    <col min="22" max="22" width="6.33203125" bestFit="1" customWidth="1"/>
    <col min="23" max="23" width="7.33203125" customWidth="1"/>
    <col min="24" max="25" width="8.88671875" customWidth="1"/>
    <col min="26" max="26" width="8.109375" customWidth="1"/>
    <col min="27" max="27" width="8.88671875" customWidth="1"/>
    <col min="31" max="31" width="8" customWidth="1"/>
  </cols>
  <sheetData>
    <row r="2" spans="1:34" ht="21" customHeight="1" x14ac:dyDescent="0.3">
      <c r="B2" s="29"/>
      <c r="C2" s="296" t="s">
        <v>0</v>
      </c>
      <c r="D2" s="298" t="s">
        <v>1</v>
      </c>
      <c r="E2" s="298"/>
      <c r="F2" s="298"/>
      <c r="G2" s="298" t="s">
        <v>2</v>
      </c>
      <c r="H2" s="298"/>
      <c r="I2" s="298"/>
      <c r="J2" s="298"/>
      <c r="K2" s="298" t="s">
        <v>82</v>
      </c>
      <c r="L2" s="298" t="s">
        <v>81</v>
      </c>
      <c r="M2" s="298" t="s">
        <v>83</v>
      </c>
      <c r="R2" s="82"/>
      <c r="S2" s="300" t="s">
        <v>100</v>
      </c>
      <c r="T2" s="300"/>
      <c r="U2" s="300"/>
      <c r="V2" s="300"/>
      <c r="W2" s="300"/>
      <c r="X2" s="300"/>
      <c r="Y2" s="300"/>
      <c r="Z2" s="300"/>
      <c r="AA2" s="300"/>
      <c r="AB2" s="300"/>
      <c r="AC2" s="300"/>
      <c r="AD2" s="300"/>
      <c r="AE2" s="300"/>
      <c r="AF2" s="300"/>
      <c r="AG2" s="300"/>
      <c r="AH2" s="300"/>
    </row>
    <row r="3" spans="1:34" ht="14.4" customHeight="1" x14ac:dyDescent="0.3">
      <c r="B3" s="29"/>
      <c r="C3" s="297"/>
      <c r="D3" s="17" t="s">
        <v>3</v>
      </c>
      <c r="E3" s="17" t="s">
        <v>4</v>
      </c>
      <c r="F3" s="17" t="s">
        <v>5</v>
      </c>
      <c r="G3" s="17" t="s">
        <v>6</v>
      </c>
      <c r="H3" s="17" t="s">
        <v>7</v>
      </c>
      <c r="I3" s="17" t="s">
        <v>8</v>
      </c>
      <c r="J3" s="17" t="s">
        <v>9</v>
      </c>
      <c r="K3" s="299"/>
      <c r="L3" s="299"/>
      <c r="M3" s="299"/>
      <c r="Q3" s="82"/>
      <c r="R3" s="82"/>
      <c r="S3" s="300"/>
      <c r="T3" s="300"/>
      <c r="U3" s="300"/>
      <c r="V3" s="300"/>
      <c r="W3" s="300"/>
      <c r="X3" s="300"/>
      <c r="Y3" s="300"/>
      <c r="Z3" s="300"/>
      <c r="AA3" s="300"/>
      <c r="AB3" s="300"/>
      <c r="AC3" s="300"/>
      <c r="AD3" s="300"/>
      <c r="AE3" s="300"/>
      <c r="AF3" s="300"/>
      <c r="AG3" s="300"/>
      <c r="AH3" s="300"/>
    </row>
    <row r="4" spans="1:34" ht="14.4" customHeight="1" x14ac:dyDescent="0.3">
      <c r="B4" s="77"/>
      <c r="C4" s="37" t="s">
        <v>10</v>
      </c>
      <c r="D4" s="7" cm="1">
        <f t="array" ref="D4">SUM(SUM(D14:D21*$L14:$L21),SUM(U14:U21*$AC14:$AC21), SUM(D26:D33*$L26:$L33), SUM(U26:U33*$AC26:$AC33), SUM(D38:D45*$L38:$L45), SUM(U38:U45*$AC38:$AC45),SUM(D50:D56*$L50:$L56), SUM(U50:U56*$AC50:$AC56))</f>
        <v>12</v>
      </c>
      <c r="E4" s="7" cm="1">
        <f t="array" ref="E4">SUM(SUM(E14:E21*$L14:$L21),SUM(V14:V21*$AC14:$AC21), SUM(E26:E33*$L26:$L33), SUM(V26:V33*$AC26:$AC33), SUM(E38:E45*$L38:$L45), SUM(V38:V45*$AC38:$AC45),SUM(E50:E56*$L50:$L56), SUM(V50:V56*$AC50:$AC56))</f>
        <v>20</v>
      </c>
      <c r="F4" s="7" cm="1">
        <f t="array" ref="F4">SUM(SUM(F14:F21*$L14:$L21),SUM(W14:W21*$AC14:$AC21), SUM(F26:F33*$L26:$L33), SUM(W26:W33*$AC26:$AC33), SUM(F38:F45*$L38:$L45), SUM(W38:W45*$AC38:$AC45),SUM(F50:F56*$L50:$L56), SUM(W50:W56*$AC50:$AC56))</f>
        <v>500</v>
      </c>
      <c r="G4" s="7" cm="1">
        <f t="array" ref="G4">SUM(SUM(G14:G21*$L14:$L21),SUM(X14:X21*$AC14:$AC21), SUM(G26:G33*$L26:$L33), SUM(X26:X33*$AC26:$AC33), SUM(G38:G45*$L38:$L45), SUM(X38:X45*$AC38:$AC45),SUM(G50:G56*$L50:$L56), SUM(X50:X56*$AC50:$AC56))</f>
        <v>10</v>
      </c>
      <c r="H4" s="7" cm="1">
        <f t="array" ref="H4">SUM(SUM(H14:H21*$L14:$L21),SUM(Y14:Y21*$AC14:$AC21), SUM(H26:H33*$L26:$L33), SUM(Y26:Y33*$AC26:$AC33), SUM(H38:H45*$L38:$L45), SUM(Y38:Y45*$AC38:$AC45),SUM(H50:H56*$L50:$L56), SUM(Y50:Y56*$AC50:$AC56))</f>
        <v>2</v>
      </c>
      <c r="I4" s="7" cm="1">
        <f t="array" ref="I4">SUM(SUM(I14:I21*$L14:$L21),SUM(Z14:Z21*$AC14:$AC21), SUM(I26:I33*$L26:$L33), SUM(Z26:Z33*$AC26:$AC33), SUM(I38:I45*$L38:$L45), SUM(Z38:Z45*$AC38:$AC45),SUM(I50:I56*$L50:$L56), SUM(Z50:Z56*$AC50:$AC56))</f>
        <v>2</v>
      </c>
      <c r="J4" s="7" cm="1">
        <f t="array" ref="J4">SUM(SUM(J14:J21*$L14:$L21),SUM(AA14:AA21*$AC14:$AC21), SUM(J26:J33*$L26:$L33), SUM(AA26:AA33*$AC26:$AC33), SUM(J38:J45*$L38:$L45), SUM(AA38:AA45*$AC38:$AC45),SUM(J50:J56*$L50:$L56), SUM(AA50:AA56*$AC50:$AC56))</f>
        <v>14</v>
      </c>
      <c r="K4" s="72" t="s">
        <v>11</v>
      </c>
      <c r="L4" s="49">
        <v>0.08</v>
      </c>
      <c r="M4" s="259">
        <f t="shared" ref="M4:M9" si="0">D4/$D$10</f>
        <v>8.3333333333333329E-2</v>
      </c>
      <c r="Q4" s="82"/>
      <c r="R4" s="82"/>
      <c r="S4" s="300"/>
      <c r="T4" s="300"/>
      <c r="U4" s="300"/>
      <c r="V4" s="300"/>
      <c r="W4" s="300"/>
      <c r="X4" s="300"/>
      <c r="Y4" s="300"/>
      <c r="Z4" s="300"/>
      <c r="AA4" s="300"/>
      <c r="AB4" s="300"/>
      <c r="AC4" s="300"/>
      <c r="AD4" s="300"/>
      <c r="AE4" s="300"/>
      <c r="AF4" s="300"/>
      <c r="AG4" s="300"/>
      <c r="AH4" s="300"/>
    </row>
    <row r="5" spans="1:34" ht="14.4" customHeight="1" x14ac:dyDescent="0.3">
      <c r="B5" s="77"/>
      <c r="C5" s="85" t="s">
        <v>12</v>
      </c>
      <c r="D5" s="35" cm="1">
        <f t="array" ref="D5">SUM(SUM(D14:D21*$M14:$M21),SUM(U14:U21*$AD14:$AD21), SUM(D26:D33*$M26:$M33), SUM(U26:U33*$AD26:$AD33), SUM(D38:D45*$M38:$M45), SUM(U38:U45*$AD38:$AD45),SUM(D50:D56*$M50:$M56), SUM(U50:U56*$AD50:$AD56))</f>
        <v>30</v>
      </c>
      <c r="E5" s="35" cm="1">
        <f t="array" ref="E5">SUM(SUM(E14:E21*$M14:$M21),SUM(V14:V21*$AD14:$AD21), SUM(E26:E33*$M26:$M33), SUM(V26:V33*$AD26:$AD33), SUM(E38:E45*$M38:$M45), SUM(V38:V45*$AD38:$AD45),SUM(E50:E56*$M50:$M56), SUM(V50:V56*$AD50:$AD56))</f>
        <v>50</v>
      </c>
      <c r="F5" s="35" cm="1">
        <f t="array" ref="F5">SUM(SUM(F14:F21*$M14:$M21),SUM(W14:W21*$AD14:$AD21), SUM(F26:F33*$M26:$M33), SUM(W26:W33*$AD26:$AD33), SUM(F38:F45*$M38:$M45), SUM(W38:W45*$AD38:$AD45),SUM(F50:F56*$M50:$M56), SUM(W50:W56*$AD50:$AD56))</f>
        <v>1250</v>
      </c>
      <c r="G5" s="35" cm="1">
        <f t="array" ref="G5">SUM(SUM(G14:G21*$M14:$M21),SUM(X14:X21*$AD14:$AD21), SUM(G26:G33*$M26:$M33), SUM(X26:X33*$AD26:$AD33), SUM(G38:G45*$M38:$M45), SUM(X38:X45*$AD38:$AD45),SUM(G50:G56*$M50:$M56), SUM(X50:X56*$AD50:$AD56))</f>
        <v>20</v>
      </c>
      <c r="H5" s="35" cm="1">
        <f t="array" ref="H5">SUM(SUM(H14:H21*$M14:$M21),SUM(Y14:Y21*$AD14:$AD21), SUM(H26:H33*$M26:$M33), SUM(Y26:Y33*$AD26:$AD33), SUM(H38:H45*$M38:$M45), SUM(Y38:Y45*$AD38:$AD45),SUM(H50:H56*$M50:$M56), SUM(Y50:Y56*$AD50:$AD56))</f>
        <v>16</v>
      </c>
      <c r="I5" s="35" cm="1">
        <f t="array" ref="I5">SUM(SUM(I14:I21*$M14:$M21),SUM(Z14:Z21*$AD14:$AD21), SUM(I26:I33*$M26:$M33), SUM(Z26:Z33*$AD26:$AD33), SUM(I38:I45*$M38:$M45), SUM(Z38:Z45*$AD38:$AD45),SUM(I50:I56*$M50:$M56), SUM(Z50:Z56*$AD50:$AD56))</f>
        <v>5</v>
      </c>
      <c r="J5" s="35" cm="1">
        <f t="array" ref="J5">SUM(SUM(J14:J21*$M14:$M21),SUM(AA14:AA21*$AD14:$AD21), SUM(J26:J33*$M26:$M33), SUM(AA26:AA33*$AD26:$AD33), SUM(J38:J45*$M38:$M45), SUM(AA38:AA45*$AD38:$AD45),SUM(J50:J56*$M50:$M56), SUM(AA50:AA56*$AD50:$AD56))</f>
        <v>41</v>
      </c>
      <c r="K5" s="35" t="s">
        <v>13</v>
      </c>
      <c r="L5" s="36">
        <v>0.2</v>
      </c>
      <c r="M5" s="36">
        <f t="shared" si="0"/>
        <v>0.20833333333333334</v>
      </c>
      <c r="Q5" s="82"/>
      <c r="R5" s="82"/>
      <c r="S5" s="300"/>
      <c r="T5" s="300"/>
      <c r="U5" s="300"/>
      <c r="V5" s="300"/>
      <c r="W5" s="300"/>
      <c r="X5" s="300"/>
      <c r="Y5" s="300"/>
      <c r="Z5" s="300"/>
      <c r="AA5" s="300"/>
      <c r="AB5" s="300"/>
      <c r="AC5" s="300"/>
      <c r="AD5" s="300"/>
      <c r="AE5" s="300"/>
      <c r="AF5" s="300"/>
      <c r="AG5" s="300"/>
      <c r="AH5" s="300"/>
    </row>
    <row r="6" spans="1:34" x14ac:dyDescent="0.3">
      <c r="B6" s="77"/>
      <c r="C6" s="39" t="s">
        <v>14</v>
      </c>
      <c r="D6" s="40" cm="1">
        <f t="array" ref="D6">SUM(SUM(D14:D21*$N14:$N21),SUM(U14:U21*$AE14:$AE21), SUM(D26:D33*$N26:$N33), SUM(U26:U33*$AE26:$AE33), SUM(D38:D45*$N38:$N45), SUM(U38:U45*$AE38:$AE45),SUM(D50:D56*$N50:$N56), SUM(U50:U56*$AE50:$AE56))</f>
        <v>27</v>
      </c>
      <c r="E6" s="40" cm="1">
        <f t="array" ref="E6">SUM(SUM(E14:E21*$N14:$N21),SUM(V14:V21*$AE14:$AE21), SUM(E26:E33*$N26:$N33), SUM(V26:V33*$AE26:$AE33), SUM(E38:E45*$N38:$N45), SUM(V38:V45*$AE38:$AE45),SUM(E50:E56*$N50:$N56), SUM(V50:V56*$AE50:$AE56))</f>
        <v>45</v>
      </c>
      <c r="F6" s="40" cm="1">
        <f t="array" ref="F6">SUM(SUM(F14:F21*$N14:$N21),SUM(W14:W21*$AE14:$AE21), SUM(F26:F33*$N26:$N33), SUM(W26:W33*$AE26:$AE33), SUM(F38:F45*$N38:$N45), SUM(W38:W45*$AE38:$AE45),SUM(F50:F56*$N50:$N56), SUM(W50:W56*$AE50:$AE56))</f>
        <v>1125</v>
      </c>
      <c r="G6" s="40" cm="1">
        <f t="array" ref="G6">SUM(SUM(G14:G21*$N14:$N21),SUM(X14:X21*$AE14:$AE21), SUM(G26:G33*$N26:$N33), SUM(X26:X33*$AE26:$AE33), SUM(G38:G45*$N38:$N45), SUM(X38:X45*$AE38:$AE45),SUM(G50:G56*$N50:$N56), SUM(X50:X56*$AE50:$AE56))</f>
        <v>18</v>
      </c>
      <c r="H6" s="40" cm="1">
        <f t="array" ref="H6">SUM(SUM(H14:H21*$N14:$N21),SUM(Y14:Y21*$AE14:$AE21), SUM(H26:H33*$N26:$N33), SUM(Y26:Y33*$AE26:$AE33), SUM(H38:H45*$N38:$N45), SUM(Y38:Y45*$AE38:$AE45),SUM(H50:H56*$N50:$N56), SUM(Y50:Y56*$AE50:$AE56))</f>
        <v>17</v>
      </c>
      <c r="I6" s="40" cm="1">
        <f t="array" ref="I6">SUM(SUM(I14:I21*$N14:$N21),SUM(Z14:Z21*$AE14:$AE21), SUM(I26:I33*$N26:$N33), SUM(Z26:Z33*$AE26:$AE33), SUM(I38:I45*$N38:$N45), SUM(Z38:Z45*$AE38:$AE45),SUM(I50:I56*$N50:$N56), SUM(Z50:Z56*$AE50:$AE56))</f>
        <v>2</v>
      </c>
      <c r="J6" s="40" cm="1">
        <f t="array" ref="J6">SUM(SUM(J14:J21*$N14:$N21),SUM(AA14:AA21*$AE14:$AE21), SUM(J26:J33*$N26:$N33), SUM(AA26:AA33*$AE26:$AE33), SUM(J38:J45*$N38:$N45), SUM(AA38:AA45*$AE38:$AE45),SUM(J50:J56*$N50:$N56), SUM(AA50:AA56*$AE50:$AE56))</f>
        <v>37</v>
      </c>
      <c r="K6" s="40" t="s">
        <v>87</v>
      </c>
      <c r="L6" s="48">
        <v>0.17</v>
      </c>
      <c r="M6" s="48">
        <f t="shared" si="0"/>
        <v>0.1875</v>
      </c>
    </row>
    <row r="7" spans="1:34" x14ac:dyDescent="0.3">
      <c r="B7" s="77"/>
      <c r="C7" s="43" t="s">
        <v>103</v>
      </c>
      <c r="D7" s="44" cm="1">
        <f t="array" ref="D7">SUM(SUM(D14:D21*$O14:$O21),SUM(U14:U21*$AF14:$AF21), SUM(D26:D33*$O26:$O33), SUM(U26:U33*$AF26:$AF33), SUM(D38:D45*$O38:$O45), SUM(U38:U45*$AF38:$AF45),SUM(D50:D56*$O50:$O56), SUM(U50:U56*$AF50:$AF56))</f>
        <v>66</v>
      </c>
      <c r="E7" s="44" cm="1">
        <f t="array" ref="E7">SUM(SUM(E14:E21*$O14:$O21),SUM(V14:V21*$AF14:$AF21), SUM(E26:E33*$O26:$O33), SUM(V26:V33*$AF26:$AF33), SUM(E38:E45*$O38:$O45), SUM(V38:V45*$AF38:$AF45),SUM(E50:E56*$O50:$O56), SUM(V50:V56*$AF50:$AF56))</f>
        <v>110</v>
      </c>
      <c r="F7" s="44" cm="1">
        <f t="array" ref="F7">SUM(SUM(F14:F21*$O14:$O21),SUM(W14:W21*$AF14:$AF21), SUM(F26:F33*$O26:$O33), SUM(W26:W33*$AF26:$AF33), SUM(F38:F45*$O38:$O45), SUM(W38:W45*$AF38:$AF45),SUM(F50:F56*$O50:$O56), SUM(W50:W56*$AF50:$AF56))</f>
        <v>2750</v>
      </c>
      <c r="G7" s="44" cm="1">
        <f t="array" ref="G7">SUM(SUM(G14:G21*$O14:$O21),SUM(X14:X21*$AF14:$AF21), SUM(G26:G33*$O26:$O33), SUM(X26:X33*$AF26:$AF33), SUM(G38:G45*$O38:$O45), SUM(X38:X45*$AF38:$AF45),SUM(G50:G56*$O50:$O56), SUM(X50:X56*$AF50:$AF56))</f>
        <v>40</v>
      </c>
      <c r="H7" s="44" cm="1">
        <f t="array" ref="H7">SUM(SUM(H14:H21*$O14:$O21),SUM(Y14:Y21*$AF14:$AF21), SUM(H26:H33*$O26:$O33), SUM(Y26:Y33*$AF26:$AF33), SUM(H38:H45*$O38:$O45), SUM(Y38:Y45*$AF38:$AF45),SUM(H50:H56*$O50:$O56), SUM(Y50:Y56*$AF50:$AF56))</f>
        <v>33</v>
      </c>
      <c r="I7" s="44" cm="1">
        <f t="array" ref="I7">SUM(SUM(I14:I21*$O14:$O21),SUM(Z14:Z21*$AF14:$AF21), SUM(I26:I33*$O26:$O33), SUM(Z26:Z33*$AF26:$AF33), SUM(I38:I45*$O38:$O45), SUM(Z38:Z45*$AF38:$AF45),SUM(I50:I56*$O50:$O56), SUM(Z50:Z56*$AF50:$AF56))</f>
        <v>19</v>
      </c>
      <c r="J7" s="44" cm="1">
        <f t="array" ref="J7">SUM(SUM(J14:J21*$O14:$O21),SUM(AA14:AA21*$AF14:$AF21), SUM(J26:J33*$O26:$O33), SUM(AA26:AA33*$AF26:$AF33), SUM(J38:J45*$O38:$O45), SUM(AA38:AA45*$AF38:$AF45),SUM(J50:J56*$O50:$O56), SUM(AA50:AA56*$AF50:$AF56))</f>
        <v>92</v>
      </c>
      <c r="K7" s="44" t="s">
        <v>88</v>
      </c>
      <c r="L7" s="47">
        <v>0.35</v>
      </c>
      <c r="M7" s="47">
        <f t="shared" si="0"/>
        <v>0.45833333333333331</v>
      </c>
      <c r="N7" s="2"/>
      <c r="O7" s="84"/>
      <c r="P7" s="2"/>
      <c r="Q7" s="2"/>
      <c r="R7" s="2"/>
      <c r="S7" s="2"/>
      <c r="T7" s="2"/>
      <c r="U7" s="2"/>
      <c r="V7" s="2"/>
      <c r="W7" s="2"/>
    </row>
    <row r="8" spans="1:34" x14ac:dyDescent="0.3">
      <c r="B8" s="77"/>
      <c r="C8" s="45" t="s">
        <v>113</v>
      </c>
      <c r="D8" s="46" cm="1">
        <f t="array" ref="D8">SUM(SUM(D14:D21*$P14:$P21),SUM(U14:U21*$AG14:$AG21), SUM(D26:D33*$P26:$P33), SUM(U26:U33*$AG26:$AG33), SUM(D38:D45*$P38:$P45), SUM(U38:U45*$AG38:$AG45),SUM(D50:D56*$P50:$P56), SUM(U50:U56*$AG50:$AG56))</f>
        <v>36</v>
      </c>
      <c r="E8" s="46" cm="1">
        <f t="array" ref="E8">SUM(SUM(E14:E21*$P14:$P21),SUM(V14:V21*$AG14:$AG21), SUM(E26:E33*$P26:$P33), SUM(V26:V33*$AG26:$AG33), SUM(E38:E45*$P38:$P45), SUM(V38:V45*$AG38:$AG45),SUM(E50:E56*$P50:$P56), SUM(V50:V56*$AG50:$AG56))</f>
        <v>60</v>
      </c>
      <c r="F8" s="46" cm="1">
        <f t="array" ref="F8">SUM(SUM(F14:F21*$P14:$P21),SUM(W14:W21*$AG14:$AG21), SUM(F26:F33*$P26:$P33), SUM(W26:W33*$AG26:$AG33), SUM(F38:F45*$P38:$P45), SUM(W38:W45*$AG38:$AG45),SUM(F50:F56*$P50:$P56), SUM(W50:W56*$AG50:$AG56))</f>
        <v>1500</v>
      </c>
      <c r="G8" s="46" cm="1">
        <f t="array" ref="G8">SUM(SUM(G14:G21*$P14:$P21),SUM(X14:X21*$AG14:$AG21), SUM(G26:G33*$P26:$P33), SUM(X26:X33*$AG26:$AG33), SUM(G38:G45*$P38:$P45), SUM(X38:X45*$AG38:$AG45),SUM(G50:G56*$P50:$P56), SUM(X50:X56*$AG50:$AG56))</f>
        <v>24</v>
      </c>
      <c r="H8" s="46" cm="1">
        <f t="array" ref="H8">SUM(SUM(H14:H21*$P14:$P21),SUM(Y14:Y21*$AG14:$AG21), SUM(H26:H33*$P26:$P33), SUM(Y26:Y33*$AG26:$AG33), SUM(H38:H45*$P38:$P45), SUM(Y38:Y45*$AG38:$AG45),SUM(H50:H56*$P50:$P56), SUM(Y50:Y56*$AG50:$AG56))</f>
        <v>19</v>
      </c>
      <c r="I8" s="46" cm="1">
        <f t="array" ref="I8">SUM(SUM(I14:I21*$P14:$P21),SUM(Z14:Z21*$AG14:$AG21), SUM(I26:I33*$P26:$P33), SUM(Z26:Z33*$AG26:$AG33), SUM(I38:I45*$P38:$P45), SUM(Z38:Z45*$AG38:$AG45),SUM(I50:I56*$P50:$P56), SUM(Z50:Z56*$AG50:$AG56))</f>
        <v>5</v>
      </c>
      <c r="J8" s="46" cm="1">
        <f t="array" ref="J8">SUM(SUM(J14:J21*$P14:$P21),SUM(AA14:AA21*$AG14:$AG21), SUM(J26:J33*$P26:$P33), SUM(AA26:AA33*$AG26:$AG33), SUM(J38:J45*$P38:$P45), SUM(AA38:AA45*$AG38:$AG45),SUM(J50:J56*$P50:$P56), SUM(AA50:AA56*$AG50:$AG56))</f>
        <v>48</v>
      </c>
      <c r="K8" s="73" t="s">
        <v>15</v>
      </c>
      <c r="L8" s="71">
        <v>0.3</v>
      </c>
      <c r="M8" s="71">
        <f t="shared" si="0"/>
        <v>0.25</v>
      </c>
      <c r="O8" s="260">
        <f>M4+M5+M7+M8</f>
        <v>1</v>
      </c>
    </row>
    <row r="9" spans="1:34" x14ac:dyDescent="0.3">
      <c r="B9" s="77"/>
      <c r="C9" s="67" t="s">
        <v>115</v>
      </c>
      <c r="D9" s="68" cm="1">
        <f t="array" ref="D9">SUM(SUM(D14:D21*$Q14:$Q21),SUM(U14:U21*$AH14:$AH21), SUM(D26:D33*$Q26:$Q33), SUM(U26:U33*$AH26:$AH33), SUM(D38:D45*$Q38:$Q45), SUM(U38:U45*$AH38:$AH45),SUM(D50:D56*$Q50:$Q56), SUM(U50:U56*$AH50:$AH56))</f>
        <v>24</v>
      </c>
      <c r="E9" s="68" cm="1">
        <f t="array" ref="E9">SUM(SUM(E14:E21*$Q14:$Q21),SUM(V14:V21*$AH14:$AH21), SUM(E26:E33*$Q26:$Q33), SUM(V26:V33*$AH26:$AH33), SUM(E38:E45*$Q38:$Q45), SUM(V38:V45*$AH38:$AH45),SUM(E50:E56*$Q50:$Q56), SUM(V50:V56*$AH50:$AH56))</f>
        <v>40</v>
      </c>
      <c r="F9" s="68" cm="1">
        <f t="array" ref="F9">SUM(SUM(F14:F21*$Q14:$Q21),SUM(W14:W21*$AH14:$AH21), SUM(F26:F33*$Q26:$Q33), SUM(W26:W33*$AH26:$AH33), SUM(F38:F45*$Q38:$Q45), SUM(W38:W45*$AH38:$AH45),SUM(F50:F56*$Q50:$Q56), SUM(W50:W56*$AH50:$AH56))</f>
        <v>1000</v>
      </c>
      <c r="G9" s="68" cm="1">
        <f t="array" ref="G9">SUM(SUM(G14:G21*$Q14:$Q21),SUM(X14:X21*$AH14:$AH21), SUM(G26:G33*$Q26:$Q33), SUM(X26:X33*$AH26:$AH33), SUM(G38:G45*$Q38:$Q45), SUM(X38:X45*$AH38:$AH45),SUM(G50:G56*$Q50:$Q56), SUM(X50:X56*$AH50:$AH56))</f>
        <v>17</v>
      </c>
      <c r="H9" s="68" cm="1">
        <f t="array" ref="H9">SUM(SUM(H14:H21*$Q14:$Q21),SUM(Y14:Y21*$AH14:$AH21), SUM(H26:H33*$Q26:$Q33), SUM(Y26:Y33*$AH26:$AH33), SUM(H38:H45*$Q38:$Q45), SUM(Y38:Y45*$AH38:$AH45),SUM(H50:H56*$Q50:$Q56), SUM(Y50:Y56*$AH50:$AH56))</f>
        <v>10</v>
      </c>
      <c r="I9" s="68" cm="1">
        <f t="array" ref="I9">SUM(SUM(I14:I21*$Q14:$Q21),SUM(Z14:Z21*$AH14:$AH21), SUM(I26:I33*$Q26:$Q33), SUM(Z26:Z33*$AH26:$AH33), SUM(I38:I45*$Q38:$Q45), SUM(Z38:Z45*$AH38:$AH45),SUM(I50:I56*$Q50:$Q56), SUM(Z50:Z56*$AH50:$AH56))</f>
        <v>4</v>
      </c>
      <c r="J9" s="68" cm="1">
        <f t="array" ref="J9">SUM(SUM(J14:J21*$Q14:$Q21),SUM(AA14:AA21*$AH14:$AH21), SUM(J26:J33*$Q26:$Q33), SUM(AA26:AA33*$AH26:$AH33), SUM(J38:J45*$Q38:$Q45), SUM(AA38:AA45*$AH38:$AH45),SUM(J50:J56*$Q50:$Q56), SUM(AA50:AA56*$AH50:$AH56))</f>
        <v>31</v>
      </c>
      <c r="K9" s="74" t="s">
        <v>86</v>
      </c>
      <c r="L9" s="69">
        <v>0.15</v>
      </c>
      <c r="M9" s="69">
        <f t="shared" si="0"/>
        <v>0.16666666666666666</v>
      </c>
    </row>
    <row r="10" spans="1:34" ht="15.6" customHeight="1" x14ac:dyDescent="0.3">
      <c r="C10" s="70" t="s">
        <v>92</v>
      </c>
      <c r="D10" s="41">
        <f>D22+U22+D34+U34+D46+U46+D57+U57</f>
        <v>144</v>
      </c>
      <c r="E10" s="41">
        <f>E22+V22+E34+V34+E46+V46+E57+V57</f>
        <v>240</v>
      </c>
      <c r="F10" s="41">
        <f t="shared" ref="F10:J10" si="1">F22+W22+F34+W34+F46+W46+F57+W57</f>
        <v>6000</v>
      </c>
      <c r="G10" s="41">
        <f t="shared" si="1"/>
        <v>94</v>
      </c>
      <c r="H10" s="41">
        <f t="shared" si="1"/>
        <v>70</v>
      </c>
      <c r="I10" s="41">
        <f t="shared" si="1"/>
        <v>31</v>
      </c>
      <c r="J10" s="41">
        <f t="shared" si="1"/>
        <v>195</v>
      </c>
      <c r="K10" s="42"/>
      <c r="L10" s="31"/>
      <c r="M10" s="38"/>
      <c r="N10" s="13"/>
    </row>
    <row r="12" spans="1:34" ht="14.4" customHeight="1" x14ac:dyDescent="0.3">
      <c r="A12" s="292" t="s">
        <v>16</v>
      </c>
      <c r="B12" s="290" t="s">
        <v>17</v>
      </c>
      <c r="C12" s="290" t="s">
        <v>18</v>
      </c>
      <c r="D12" s="290" t="s">
        <v>1</v>
      </c>
      <c r="E12" s="290"/>
      <c r="F12" s="290"/>
      <c r="G12" s="290" t="s">
        <v>2</v>
      </c>
      <c r="H12" s="290"/>
      <c r="I12" s="290"/>
      <c r="J12" s="290"/>
      <c r="K12" s="288" t="s">
        <v>19</v>
      </c>
      <c r="L12" s="288" t="s">
        <v>20</v>
      </c>
      <c r="M12" s="288" t="s">
        <v>21</v>
      </c>
      <c r="N12" s="289" t="s">
        <v>111</v>
      </c>
      <c r="O12" s="288" t="s">
        <v>22</v>
      </c>
      <c r="P12" s="288" t="s">
        <v>98</v>
      </c>
      <c r="Q12" s="288" t="s">
        <v>89</v>
      </c>
      <c r="R12" s="293" t="s">
        <v>23</v>
      </c>
      <c r="S12" s="290" t="s">
        <v>17</v>
      </c>
      <c r="T12" s="290" t="s">
        <v>18</v>
      </c>
      <c r="U12" s="290" t="s">
        <v>1</v>
      </c>
      <c r="V12" s="290"/>
      <c r="W12" s="290"/>
      <c r="X12" s="290" t="s">
        <v>2</v>
      </c>
      <c r="Y12" s="290"/>
      <c r="Z12" s="290"/>
      <c r="AA12" s="290"/>
      <c r="AB12" s="288" t="s">
        <v>19</v>
      </c>
      <c r="AC12" s="288" t="s">
        <v>20</v>
      </c>
      <c r="AD12" s="288" t="s">
        <v>21</v>
      </c>
      <c r="AE12" s="289" t="s">
        <v>111</v>
      </c>
      <c r="AF12" s="288" t="s">
        <v>22</v>
      </c>
      <c r="AG12" s="288" t="s">
        <v>98</v>
      </c>
      <c r="AH12" s="288" t="s">
        <v>89</v>
      </c>
    </row>
    <row r="13" spans="1:34" x14ac:dyDescent="0.3">
      <c r="A13" s="292"/>
      <c r="B13" s="290"/>
      <c r="C13" s="290"/>
      <c r="D13" s="16" t="s">
        <v>3</v>
      </c>
      <c r="E13" s="16" t="s">
        <v>4</v>
      </c>
      <c r="F13" s="16" t="s">
        <v>5</v>
      </c>
      <c r="G13" s="16" t="s">
        <v>6</v>
      </c>
      <c r="H13" s="16" t="s">
        <v>7</v>
      </c>
      <c r="I13" s="16" t="s">
        <v>8</v>
      </c>
      <c r="J13" s="16" t="s">
        <v>9</v>
      </c>
      <c r="K13" s="288"/>
      <c r="L13" s="288"/>
      <c r="M13" s="288"/>
      <c r="N13" s="289"/>
      <c r="O13" s="288"/>
      <c r="P13" s="288"/>
      <c r="Q13" s="288"/>
      <c r="R13" s="294"/>
      <c r="S13" s="290"/>
      <c r="T13" s="290"/>
      <c r="U13" s="16" t="s">
        <v>3</v>
      </c>
      <c r="V13" s="16" t="s">
        <v>4</v>
      </c>
      <c r="W13" s="16" t="s">
        <v>5</v>
      </c>
      <c r="X13" s="16" t="s">
        <v>6</v>
      </c>
      <c r="Y13" s="16" t="s">
        <v>7</v>
      </c>
      <c r="Z13" s="16" t="s">
        <v>8</v>
      </c>
      <c r="AA13" s="16" t="s">
        <v>9</v>
      </c>
      <c r="AB13" s="288"/>
      <c r="AC13" s="288"/>
      <c r="AD13" s="288"/>
      <c r="AE13" s="289"/>
      <c r="AF13" s="288"/>
      <c r="AG13" s="288"/>
      <c r="AH13" s="288"/>
    </row>
    <row r="14" spans="1:34" ht="14.4" customHeight="1" x14ac:dyDescent="0.3">
      <c r="A14" s="292"/>
      <c r="B14" s="10" t="str">
        <f>'List of Courses'!B4</f>
        <v>EGL111</v>
      </c>
      <c r="C14" s="10" t="str">
        <f>'List of Courses'!C4</f>
        <v>English I</v>
      </c>
      <c r="D14" s="10">
        <f>'List of Courses'!D4</f>
        <v>0</v>
      </c>
      <c r="E14" s="10">
        <f>'List of Courses'!E4</f>
        <v>0</v>
      </c>
      <c r="F14" s="10">
        <f>'List of Courses'!F4</f>
        <v>0</v>
      </c>
      <c r="G14" s="10">
        <f>'List of Courses'!G4</f>
        <v>0</v>
      </c>
      <c r="H14" s="10">
        <f>'List of Courses'!H4</f>
        <v>0</v>
      </c>
      <c r="I14" s="10">
        <f>'List of Courses'!I4</f>
        <v>0</v>
      </c>
      <c r="J14" s="10">
        <f>'List of Courses'!J4</f>
        <v>0</v>
      </c>
      <c r="K14" s="10" t="str">
        <f>'List of Courses'!K4</f>
        <v>--</v>
      </c>
      <c r="L14" s="10">
        <f>'List of Courses'!L4</f>
        <v>1</v>
      </c>
      <c r="M14" s="10">
        <f>'List of Courses'!M4</f>
        <v>0</v>
      </c>
      <c r="N14" s="10">
        <f>'List of Courses'!N4</f>
        <v>0</v>
      </c>
      <c r="O14" s="10">
        <f>'List of Courses'!O4</f>
        <v>0</v>
      </c>
      <c r="P14" s="10">
        <f>'List of Courses'!P4</f>
        <v>0</v>
      </c>
      <c r="Q14" s="10">
        <f>'List of Courses'!Q4</f>
        <v>0</v>
      </c>
      <c r="R14" s="294"/>
      <c r="S14" s="10" t="str">
        <f>'List of Courses'!B5</f>
        <v>EGL112</v>
      </c>
      <c r="T14" s="10" t="str">
        <f>'List of Courses'!C5</f>
        <v>English II</v>
      </c>
      <c r="U14" s="10">
        <f>'List of Courses'!D5</f>
        <v>0</v>
      </c>
      <c r="V14" s="10">
        <f>'List of Courses'!E5</f>
        <v>0</v>
      </c>
      <c r="W14" s="10">
        <f>'List of Courses'!F5</f>
        <v>0</v>
      </c>
      <c r="X14" s="10">
        <f>'List of Courses'!G5</f>
        <v>0</v>
      </c>
      <c r="Y14" s="10">
        <f>'List of Courses'!H5</f>
        <v>0</v>
      </c>
      <c r="Z14" s="10">
        <f>'List of Courses'!I5</f>
        <v>0</v>
      </c>
      <c r="AA14" s="10">
        <f>'List of Courses'!J5</f>
        <v>0</v>
      </c>
      <c r="AB14" s="10" t="str">
        <f>'List of Courses'!K5</f>
        <v>EGL111</v>
      </c>
      <c r="AC14" s="10">
        <f>'List of Courses'!L5</f>
        <v>1</v>
      </c>
      <c r="AD14" s="10">
        <f>'List of Courses'!M5</f>
        <v>0</v>
      </c>
      <c r="AE14" s="10">
        <f>'List of Courses'!N5</f>
        <v>0</v>
      </c>
      <c r="AF14" s="10">
        <f>'List of Courses'!O5</f>
        <v>0</v>
      </c>
      <c r="AG14" s="10">
        <f>'List of Courses'!P5</f>
        <v>0</v>
      </c>
      <c r="AH14" s="10">
        <f>'List of Courses'!Q5</f>
        <v>0</v>
      </c>
    </row>
    <row r="15" spans="1:34" x14ac:dyDescent="0.3">
      <c r="A15" s="292"/>
      <c r="B15" s="10" t="str">
        <f>'List of Courses'!B8</f>
        <v>CSC111</v>
      </c>
      <c r="C15" s="10" t="str">
        <f>'List of Courses'!C8</f>
        <v>Computer and Information Skills</v>
      </c>
      <c r="D15" s="10">
        <f>'List of Courses'!D8</f>
        <v>3</v>
      </c>
      <c r="E15" s="10">
        <f>'List of Courses'!E8</f>
        <v>5</v>
      </c>
      <c r="F15" s="10">
        <f>'List of Courses'!F8</f>
        <v>125</v>
      </c>
      <c r="G15" s="10">
        <f>'List of Courses'!G8</f>
        <v>1</v>
      </c>
      <c r="H15" s="10">
        <f>'List of Courses'!H8</f>
        <v>2</v>
      </c>
      <c r="I15" s="10">
        <f>'List of Courses'!I8</f>
        <v>2</v>
      </c>
      <c r="J15" s="10">
        <f>'List of Courses'!J8</f>
        <v>5</v>
      </c>
      <c r="K15" s="10" t="str">
        <f>'List of Courses'!K8</f>
        <v>--</v>
      </c>
      <c r="L15" s="10">
        <f>'List of Courses'!L8</f>
        <v>1</v>
      </c>
      <c r="M15" s="10">
        <f>'List of Courses'!M8</f>
        <v>0</v>
      </c>
      <c r="N15" s="10">
        <f>'List of Courses'!N8</f>
        <v>0</v>
      </c>
      <c r="O15" s="10">
        <f>'List of Courses'!O8</f>
        <v>0</v>
      </c>
      <c r="P15" s="10">
        <f>'List of Courses'!P8</f>
        <v>0</v>
      </c>
      <c r="Q15" s="10">
        <f>'List of Courses'!Q8</f>
        <v>0</v>
      </c>
      <c r="R15" s="294"/>
      <c r="S15" s="10" t="str">
        <f>'List of Courses'!B9</f>
        <v>HUM E1</v>
      </c>
      <c r="T15" s="10" t="str">
        <f>'List of Courses'!C9</f>
        <v>Humanities and Social Sciences Electives</v>
      </c>
      <c r="U15" s="10">
        <f>'List of Courses'!D9</f>
        <v>3</v>
      </c>
      <c r="V15" s="10">
        <f>'List of Courses'!E9</f>
        <v>5</v>
      </c>
      <c r="W15" s="10">
        <f>'List of Courses'!F9</f>
        <v>125</v>
      </c>
      <c r="X15" s="10">
        <f>'List of Courses'!G9</f>
        <v>3</v>
      </c>
      <c r="Y15" s="10">
        <f>'List of Courses'!H9</f>
        <v>0</v>
      </c>
      <c r="Z15" s="10">
        <f>'List of Courses'!I9</f>
        <v>0</v>
      </c>
      <c r="AA15" s="10">
        <f>'List of Courses'!J9</f>
        <v>3</v>
      </c>
      <c r="AB15" s="10" t="str">
        <f>'List of Courses'!K9</f>
        <v>--</v>
      </c>
      <c r="AC15" s="10">
        <f>'List of Courses'!L9</f>
        <v>1</v>
      </c>
      <c r="AD15" s="10">
        <f>'List of Courses'!M9</f>
        <v>0</v>
      </c>
      <c r="AE15" s="10">
        <f>'List of Courses'!N9</f>
        <v>0</v>
      </c>
      <c r="AF15" s="10">
        <f>'List of Courses'!O9</f>
        <v>0</v>
      </c>
      <c r="AG15" s="10">
        <f>'List of Courses'!P9</f>
        <v>0</v>
      </c>
      <c r="AH15" s="57">
        <f>'List of Courses'!Q9</f>
        <v>1</v>
      </c>
    </row>
    <row r="16" spans="1:34" x14ac:dyDescent="0.3">
      <c r="A16" s="292"/>
      <c r="B16" s="34" t="str">
        <f>'List of Courses'!B10</f>
        <v>MTH111</v>
      </c>
      <c r="C16" s="34" t="str">
        <f>'List of Courses'!C10</f>
        <v>Analytical Geometry and Calculus I</v>
      </c>
      <c r="D16" s="34">
        <f>'List of Courses'!D10</f>
        <v>3</v>
      </c>
      <c r="E16" s="34">
        <f>'List of Courses'!E10</f>
        <v>5</v>
      </c>
      <c r="F16" s="34">
        <f>'List of Courses'!F10</f>
        <v>125</v>
      </c>
      <c r="G16" s="34">
        <f>'List of Courses'!G10</f>
        <v>2</v>
      </c>
      <c r="H16" s="34">
        <f>'List of Courses'!H10</f>
        <v>2</v>
      </c>
      <c r="I16" s="34">
        <f>'List of Courses'!I10</f>
        <v>0</v>
      </c>
      <c r="J16" s="34">
        <f>'List of Courses'!J10</f>
        <v>4</v>
      </c>
      <c r="K16" s="34" t="str">
        <f>'List of Courses'!K10</f>
        <v>--</v>
      </c>
      <c r="L16" s="34">
        <f>'List of Courses'!L10</f>
        <v>0</v>
      </c>
      <c r="M16" s="34">
        <f>'List of Courses'!M10</f>
        <v>1</v>
      </c>
      <c r="N16" s="4">
        <f>'List of Courses'!N10</f>
        <v>1</v>
      </c>
      <c r="O16" s="34">
        <f>'List of Courses'!O10</f>
        <v>0</v>
      </c>
      <c r="P16" s="34">
        <f>'List of Courses'!P10</f>
        <v>0</v>
      </c>
      <c r="Q16" s="34">
        <f>'List of Courses'!Q10</f>
        <v>0</v>
      </c>
      <c r="R16" s="294"/>
      <c r="S16" s="53" t="str">
        <f>'List of Courses'!B11</f>
        <v>MTH112</v>
      </c>
      <c r="T16" s="53" t="str">
        <f>'List of Courses'!C11</f>
        <v>Calculus II</v>
      </c>
      <c r="U16" s="53">
        <f>'List of Courses'!D11</f>
        <v>3</v>
      </c>
      <c r="V16" s="53">
        <f>'List of Courses'!E11</f>
        <v>5</v>
      </c>
      <c r="W16" s="53">
        <f>'List of Courses'!F11</f>
        <v>125</v>
      </c>
      <c r="X16" s="53">
        <f>'List of Courses'!G11</f>
        <v>2</v>
      </c>
      <c r="Y16" s="53">
        <f>'List of Courses'!H11</f>
        <v>2</v>
      </c>
      <c r="Z16" s="53">
        <f>'List of Courses'!I11</f>
        <v>0</v>
      </c>
      <c r="AA16" s="53">
        <f>'List of Courses'!J11</f>
        <v>4</v>
      </c>
      <c r="AB16" s="53" t="str">
        <f>'List of Courses'!K11</f>
        <v>MTH111 (CO)</v>
      </c>
      <c r="AC16" s="53">
        <f>'List of Courses'!L11</f>
        <v>0</v>
      </c>
      <c r="AD16" s="53">
        <f>'List of Courses'!M11</f>
        <v>0</v>
      </c>
      <c r="AE16" s="4">
        <f>'List of Courses'!N11</f>
        <v>1</v>
      </c>
      <c r="AF16" s="53">
        <f>'List of Courses'!O11</f>
        <v>1</v>
      </c>
      <c r="AG16" s="53">
        <f>'List of Courses'!P11</f>
        <v>0</v>
      </c>
      <c r="AH16" s="53">
        <f>'List of Courses'!Q11</f>
        <v>0</v>
      </c>
    </row>
    <row r="17" spans="1:34" x14ac:dyDescent="0.3">
      <c r="A17" s="292"/>
      <c r="B17" s="34" t="str">
        <f>'List of Courses'!B20</f>
        <v>PHY111</v>
      </c>
      <c r="C17" s="34" t="str">
        <f>'List of Courses'!C20</f>
        <v>Physics I</v>
      </c>
      <c r="D17" s="34">
        <f>'List of Courses'!D20</f>
        <v>3</v>
      </c>
      <c r="E17" s="34">
        <f>'List of Courses'!E20</f>
        <v>5</v>
      </c>
      <c r="F17" s="34">
        <f>'List of Courses'!F20</f>
        <v>125</v>
      </c>
      <c r="G17" s="34">
        <f>'List of Courses'!G20</f>
        <v>2</v>
      </c>
      <c r="H17" s="34">
        <f>'List of Courses'!H20</f>
        <v>2</v>
      </c>
      <c r="I17" s="34">
        <f>'List of Courses'!I20</f>
        <v>1</v>
      </c>
      <c r="J17" s="34">
        <f>'List of Courses'!J20</f>
        <v>5</v>
      </c>
      <c r="K17" s="34" t="str">
        <f>'List of Courses'!K20</f>
        <v>--</v>
      </c>
      <c r="L17" s="34">
        <f>'List of Courses'!L20</f>
        <v>0</v>
      </c>
      <c r="M17" s="34">
        <f>'List of Courses'!M20</f>
        <v>1</v>
      </c>
      <c r="N17" s="4">
        <f>'List of Courses'!N20</f>
        <v>1</v>
      </c>
      <c r="O17" s="34">
        <f>'List of Courses'!O20</f>
        <v>0</v>
      </c>
      <c r="P17" s="34">
        <f>'List of Courses'!P20</f>
        <v>0</v>
      </c>
      <c r="Q17" s="34">
        <f>'List of Courses'!Q20</f>
        <v>0</v>
      </c>
      <c r="R17" s="294"/>
      <c r="S17" s="34" t="str">
        <f>'List of Courses'!B12</f>
        <v>MTH113</v>
      </c>
      <c r="T17" s="34" t="str">
        <f>'List of Courses'!C12</f>
        <v>Probability and Statistics</v>
      </c>
      <c r="U17" s="34">
        <f>'List of Courses'!D12</f>
        <v>3</v>
      </c>
      <c r="V17" s="34">
        <f>'List of Courses'!E12</f>
        <v>5</v>
      </c>
      <c r="W17" s="34">
        <f>'List of Courses'!F12</f>
        <v>125</v>
      </c>
      <c r="X17" s="34">
        <f>'List of Courses'!G12</f>
        <v>2</v>
      </c>
      <c r="Y17" s="34">
        <f>'List of Courses'!H12</f>
        <v>2</v>
      </c>
      <c r="Z17" s="34">
        <f>'List of Courses'!I12</f>
        <v>0</v>
      </c>
      <c r="AA17" s="34">
        <f>'List of Courses'!J12</f>
        <v>4</v>
      </c>
      <c r="AB17" s="34" t="str">
        <f>'List of Courses'!K12</f>
        <v>--</v>
      </c>
      <c r="AC17" s="34">
        <f>'List of Courses'!L12</f>
        <v>0</v>
      </c>
      <c r="AD17" s="34">
        <f>'List of Courses'!M12</f>
        <v>1</v>
      </c>
      <c r="AE17" s="4">
        <f>'List of Courses'!N12</f>
        <v>1</v>
      </c>
      <c r="AF17" s="34">
        <f>'List of Courses'!O12</f>
        <v>0</v>
      </c>
      <c r="AG17" s="34">
        <f>'List of Courses'!P12</f>
        <v>0</v>
      </c>
      <c r="AH17" s="34">
        <f>'List of Courses'!Q12</f>
        <v>0</v>
      </c>
    </row>
    <row r="18" spans="1:34" x14ac:dyDescent="0.3">
      <c r="A18" s="292"/>
      <c r="B18" s="34" t="str">
        <f>'List of Courses'!B23</f>
        <v>MEC111</v>
      </c>
      <c r="C18" s="34" t="str">
        <f>'List of Courses'!C23</f>
        <v>Engineering Mechanics I - Statics</v>
      </c>
      <c r="D18" s="34">
        <f>'List of Courses'!D23</f>
        <v>3</v>
      </c>
      <c r="E18" s="34">
        <f>'List of Courses'!E23</f>
        <v>5</v>
      </c>
      <c r="F18" s="34">
        <f>'List of Courses'!F23</f>
        <v>125</v>
      </c>
      <c r="G18" s="34">
        <f>'List of Courses'!G23</f>
        <v>2</v>
      </c>
      <c r="H18" s="34">
        <f>'List of Courses'!H23</f>
        <v>2</v>
      </c>
      <c r="I18" s="34">
        <f>'List of Courses'!I23</f>
        <v>0</v>
      </c>
      <c r="J18" s="34">
        <f>'List of Courses'!J23</f>
        <v>4</v>
      </c>
      <c r="K18" s="34" t="str">
        <f>'List of Courses'!K23</f>
        <v>--</v>
      </c>
      <c r="L18" s="34">
        <f>'List of Courses'!L23</f>
        <v>0</v>
      </c>
      <c r="M18" s="34">
        <f>'List of Courses'!M23</f>
        <v>1</v>
      </c>
      <c r="N18" s="4">
        <f>'List of Courses'!N23</f>
        <v>1</v>
      </c>
      <c r="O18" s="34">
        <f>'List of Courses'!O23</f>
        <v>0</v>
      </c>
      <c r="P18" s="34">
        <f>'List of Courses'!P23</f>
        <v>0</v>
      </c>
      <c r="Q18" s="34">
        <f>'List of Courses'!Q23</f>
        <v>0</v>
      </c>
      <c r="R18" s="294"/>
      <c r="S18" s="53" t="str">
        <f>'List of Courses'!B22</f>
        <v>CHM111</v>
      </c>
      <c r="T18" s="53" t="str">
        <f>'List of Courses'!C22</f>
        <v>Chemistry Principles</v>
      </c>
      <c r="U18" s="53">
        <f>'List of Courses'!D22</f>
        <v>3</v>
      </c>
      <c r="V18" s="53">
        <f>'List of Courses'!E22</f>
        <v>5</v>
      </c>
      <c r="W18" s="53">
        <f>'List of Courses'!F22</f>
        <v>125</v>
      </c>
      <c r="X18" s="53">
        <f>'List of Courses'!G22</f>
        <v>2</v>
      </c>
      <c r="Y18" s="53">
        <f>'List of Courses'!H22</f>
        <v>1</v>
      </c>
      <c r="Z18" s="53">
        <f>'List of Courses'!I22</f>
        <v>1</v>
      </c>
      <c r="AA18" s="53">
        <f>'List of Courses'!J22</f>
        <v>4</v>
      </c>
      <c r="AB18" s="53" t="str">
        <f>'List of Courses'!K22</f>
        <v>--</v>
      </c>
      <c r="AC18" s="53">
        <f>'List of Courses'!L22</f>
        <v>0</v>
      </c>
      <c r="AD18" s="53">
        <f>'List of Courses'!M22</f>
        <v>0</v>
      </c>
      <c r="AE18" s="4">
        <f>'List of Courses'!N22</f>
        <v>1</v>
      </c>
      <c r="AF18" s="53">
        <f>'List of Courses'!O22</f>
        <v>1</v>
      </c>
      <c r="AG18" s="53">
        <f>'List of Courses'!P22</f>
        <v>0</v>
      </c>
      <c r="AH18" s="53">
        <f>'List of Courses'!Q22</f>
        <v>0</v>
      </c>
    </row>
    <row r="19" spans="1:34" x14ac:dyDescent="0.3">
      <c r="A19" s="292"/>
      <c r="B19" s="34" t="str">
        <f>'List of Courses'!B25</f>
        <v>INT121</v>
      </c>
      <c r="C19" s="34" t="str">
        <f>'List of Courses'!C25</f>
        <v>Engineering Drawing</v>
      </c>
      <c r="D19" s="34">
        <f>'List of Courses'!D25</f>
        <v>3</v>
      </c>
      <c r="E19" s="34">
        <f>'List of Courses'!E25</f>
        <v>5</v>
      </c>
      <c r="F19" s="34">
        <f>'List of Courses'!F25</f>
        <v>125</v>
      </c>
      <c r="G19" s="34">
        <f>'List of Courses'!G25</f>
        <v>2</v>
      </c>
      <c r="H19" s="34">
        <f>'List of Courses'!H25</f>
        <v>0</v>
      </c>
      <c r="I19" s="34">
        <f>'List of Courses'!I25</f>
        <v>2</v>
      </c>
      <c r="J19" s="34">
        <f>'List of Courses'!J25</f>
        <v>4</v>
      </c>
      <c r="K19" s="34" t="str">
        <f>'List of Courses'!K25</f>
        <v>--</v>
      </c>
      <c r="L19" s="34">
        <f>'List of Courses'!L25</f>
        <v>0</v>
      </c>
      <c r="M19" s="34">
        <f>'List of Courses'!M25</f>
        <v>1</v>
      </c>
      <c r="N19" s="34">
        <f>'List of Courses'!N25</f>
        <v>0</v>
      </c>
      <c r="O19" s="34">
        <f>'List of Courses'!O25</f>
        <v>0</v>
      </c>
      <c r="P19" s="34">
        <f>'List of Courses'!P25</f>
        <v>0</v>
      </c>
      <c r="Q19" s="34">
        <f>'List of Courses'!Q25</f>
        <v>0</v>
      </c>
      <c r="R19" s="294"/>
      <c r="S19" s="34" t="str">
        <f>'List of Courses'!B29</f>
        <v>ECE151</v>
      </c>
      <c r="T19" s="34" t="str">
        <f>'List of Courses'!C29</f>
        <v xml:space="preserve">Introduction to Programming </v>
      </c>
      <c r="U19" s="34">
        <f>'List of Courses'!D29</f>
        <v>3</v>
      </c>
      <c r="V19" s="34">
        <f>'List of Courses'!E29</f>
        <v>5</v>
      </c>
      <c r="W19" s="34">
        <f>'List of Courses'!F29</f>
        <v>125</v>
      </c>
      <c r="X19" s="34">
        <f>'List of Courses'!G29</f>
        <v>2</v>
      </c>
      <c r="Y19" s="34">
        <f>'List of Courses'!H29</f>
        <v>0</v>
      </c>
      <c r="Z19" s="34">
        <f>'List of Courses'!I29</f>
        <v>2</v>
      </c>
      <c r="AA19" s="34">
        <f>'List of Courses'!J29</f>
        <v>4</v>
      </c>
      <c r="AB19" s="34" t="str">
        <f>'List of Courses'!K29</f>
        <v>--</v>
      </c>
      <c r="AC19" s="34">
        <f>'List of Courses'!L29</f>
        <v>0</v>
      </c>
      <c r="AD19" s="34">
        <f>'List of Courses'!M29</f>
        <v>1</v>
      </c>
      <c r="AE19" s="34">
        <f>'List of Courses'!N29</f>
        <v>0</v>
      </c>
      <c r="AF19" s="34">
        <f>'List of Courses'!O29</f>
        <v>0</v>
      </c>
      <c r="AG19" s="34">
        <f>'List of Courses'!P29</f>
        <v>0</v>
      </c>
      <c r="AH19" s="34">
        <f>'List of Courses'!Q29</f>
        <v>0</v>
      </c>
    </row>
    <row r="20" spans="1:34" x14ac:dyDescent="0.3">
      <c r="A20" s="292"/>
      <c r="B20" s="34" t="str">
        <f>'List of Courses'!B26</f>
        <v>INT E1</v>
      </c>
      <c r="C20" s="34" t="str">
        <f>'List of Courses'!C26</f>
        <v>Engineering History Electives</v>
      </c>
      <c r="D20" s="34">
        <f>'List of Courses'!D26</f>
        <v>3</v>
      </c>
      <c r="E20" s="34">
        <f>'List of Courses'!E26</f>
        <v>5</v>
      </c>
      <c r="F20" s="34">
        <f>'List of Courses'!F26</f>
        <v>125</v>
      </c>
      <c r="G20" s="34">
        <f>'List of Courses'!G26</f>
        <v>2</v>
      </c>
      <c r="H20" s="34">
        <f>'List of Courses'!H26</f>
        <v>2</v>
      </c>
      <c r="I20" s="34">
        <f>'List of Courses'!I26</f>
        <v>0</v>
      </c>
      <c r="J20" s="34">
        <f>'List of Courses'!J26</f>
        <v>4</v>
      </c>
      <c r="K20" s="34" t="str">
        <f>'List of Courses'!K26</f>
        <v>--</v>
      </c>
      <c r="L20" s="34">
        <f>'List of Courses'!L26</f>
        <v>0</v>
      </c>
      <c r="M20" s="34">
        <f>'List of Courses'!M26</f>
        <v>1</v>
      </c>
      <c r="N20" s="34">
        <f>'List of Courses'!N26</f>
        <v>0</v>
      </c>
      <c r="O20" s="34">
        <f>'List of Courses'!O26</f>
        <v>0</v>
      </c>
      <c r="P20" s="34">
        <f>'List of Courses'!P26</f>
        <v>0</v>
      </c>
      <c r="Q20" s="57">
        <f>'List of Courses'!Q26</f>
        <v>1</v>
      </c>
      <c r="R20" s="294"/>
      <c r="S20" s="53" t="str">
        <f>'List of Courses'!B30</f>
        <v>CVL211</v>
      </c>
      <c r="T20" s="53" t="str">
        <f>'List of Courses'!C30</f>
        <v>Structural Analysis-1</v>
      </c>
      <c r="U20" s="53">
        <f>'List of Courses'!D30</f>
        <v>3</v>
      </c>
      <c r="V20" s="53">
        <f>'List of Courses'!E30</f>
        <v>5</v>
      </c>
      <c r="W20" s="53">
        <f>'List of Courses'!F30</f>
        <v>125</v>
      </c>
      <c r="X20" s="53">
        <f>'List of Courses'!G30</f>
        <v>2</v>
      </c>
      <c r="Y20" s="53">
        <f>'List of Courses'!H30</f>
        <v>2</v>
      </c>
      <c r="Z20" s="53">
        <f>'List of Courses'!I30</f>
        <v>0</v>
      </c>
      <c r="AA20" s="53">
        <f>'List of Courses'!J30</f>
        <v>4</v>
      </c>
      <c r="AB20" s="53" t="str">
        <f>'List of Courses'!K30</f>
        <v>MEC111</v>
      </c>
      <c r="AC20" s="53">
        <f>'List of Courses'!L30</f>
        <v>0</v>
      </c>
      <c r="AD20" s="53">
        <f>'List of Courses'!M30</f>
        <v>0</v>
      </c>
      <c r="AE20" s="53">
        <f>'List of Courses'!N30</f>
        <v>0</v>
      </c>
      <c r="AF20" s="53">
        <f>'List of Courses'!O30</f>
        <v>1</v>
      </c>
      <c r="AG20" s="53">
        <f>'List of Courses'!P30</f>
        <v>0</v>
      </c>
      <c r="AH20" s="53">
        <f>'List of Courses'!Q30</f>
        <v>0</v>
      </c>
    </row>
    <row r="21" spans="1:34" x14ac:dyDescent="0.3">
      <c r="A21" s="292"/>
      <c r="B21" s="34"/>
      <c r="C21" s="34"/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295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</row>
    <row r="22" spans="1:34" x14ac:dyDescent="0.3">
      <c r="D22" s="41">
        <f t="shared" ref="D22:I22" si="2">SUM(D14:D21)</f>
        <v>18</v>
      </c>
      <c r="E22" s="41">
        <f>SUM(E14:E21)</f>
        <v>30</v>
      </c>
      <c r="F22" s="41">
        <f t="shared" si="2"/>
        <v>750</v>
      </c>
      <c r="G22" s="41">
        <f>SUM(G14:G21)</f>
        <v>11</v>
      </c>
      <c r="H22" s="41">
        <f t="shared" si="2"/>
        <v>10</v>
      </c>
      <c r="I22" s="41">
        <f t="shared" si="2"/>
        <v>5</v>
      </c>
      <c r="J22" s="41">
        <f>SUM(J14:J21)</f>
        <v>26</v>
      </c>
      <c r="U22" s="41">
        <f t="shared" ref="U22:AA22" si="3">SUM(U14:U21)</f>
        <v>18</v>
      </c>
      <c r="V22" s="41">
        <f t="shared" si="3"/>
        <v>30</v>
      </c>
      <c r="W22" s="41">
        <f t="shared" si="3"/>
        <v>750</v>
      </c>
      <c r="X22" s="41">
        <f t="shared" si="3"/>
        <v>13</v>
      </c>
      <c r="Y22" s="41">
        <f t="shared" si="3"/>
        <v>7</v>
      </c>
      <c r="Z22" s="41">
        <f t="shared" si="3"/>
        <v>3</v>
      </c>
      <c r="AA22" s="41">
        <f t="shared" si="3"/>
        <v>23</v>
      </c>
    </row>
    <row r="23" spans="1:34" ht="14.4" customHeight="1" x14ac:dyDescent="0.3">
      <c r="L23" s="1"/>
      <c r="M23" s="1"/>
      <c r="N23" s="1"/>
      <c r="O23" s="1"/>
      <c r="P23" s="1"/>
      <c r="Q23" s="1"/>
    </row>
    <row r="24" spans="1:34" ht="14.4" customHeight="1" x14ac:dyDescent="0.3">
      <c r="A24" s="292" t="s">
        <v>33</v>
      </c>
      <c r="B24" s="290" t="s">
        <v>17</v>
      </c>
      <c r="C24" s="290" t="s">
        <v>18</v>
      </c>
      <c r="D24" s="290" t="s">
        <v>1</v>
      </c>
      <c r="E24" s="290"/>
      <c r="F24" s="290"/>
      <c r="G24" s="290" t="s">
        <v>2</v>
      </c>
      <c r="H24" s="290"/>
      <c r="I24" s="290"/>
      <c r="J24" s="290"/>
      <c r="K24" s="288" t="s">
        <v>19</v>
      </c>
      <c r="L24" s="288" t="s">
        <v>20</v>
      </c>
      <c r="M24" s="288" t="s">
        <v>21</v>
      </c>
      <c r="N24" s="289" t="s">
        <v>111</v>
      </c>
      <c r="O24" s="288" t="s">
        <v>22</v>
      </c>
      <c r="P24" s="288" t="s">
        <v>98</v>
      </c>
      <c r="Q24" s="288" t="s">
        <v>89</v>
      </c>
      <c r="R24" s="293" t="s">
        <v>34</v>
      </c>
      <c r="S24" s="290" t="s">
        <v>17</v>
      </c>
      <c r="T24" s="290" t="s">
        <v>18</v>
      </c>
      <c r="U24" s="290" t="s">
        <v>1</v>
      </c>
      <c r="V24" s="290"/>
      <c r="W24" s="290"/>
      <c r="X24" s="290" t="s">
        <v>2</v>
      </c>
      <c r="Y24" s="290"/>
      <c r="Z24" s="290"/>
      <c r="AA24" s="290"/>
      <c r="AB24" s="288" t="s">
        <v>19</v>
      </c>
      <c r="AC24" s="288" t="s">
        <v>20</v>
      </c>
      <c r="AD24" s="288" t="s">
        <v>21</v>
      </c>
      <c r="AE24" s="289" t="s">
        <v>111</v>
      </c>
      <c r="AF24" s="288" t="s">
        <v>22</v>
      </c>
      <c r="AG24" s="288" t="s">
        <v>98</v>
      </c>
      <c r="AH24" s="288" t="s">
        <v>89</v>
      </c>
    </row>
    <row r="25" spans="1:34" x14ac:dyDescent="0.3">
      <c r="A25" s="292"/>
      <c r="B25" s="290"/>
      <c r="C25" s="290"/>
      <c r="D25" s="16" t="s">
        <v>3</v>
      </c>
      <c r="E25" s="16" t="s">
        <v>4</v>
      </c>
      <c r="F25" s="16" t="s">
        <v>5</v>
      </c>
      <c r="G25" s="16" t="s">
        <v>6</v>
      </c>
      <c r="H25" s="16" t="s">
        <v>7</v>
      </c>
      <c r="I25" s="16" t="s">
        <v>8</v>
      </c>
      <c r="J25" s="16" t="s">
        <v>9</v>
      </c>
      <c r="K25" s="288"/>
      <c r="L25" s="288"/>
      <c r="M25" s="288"/>
      <c r="N25" s="289"/>
      <c r="O25" s="288"/>
      <c r="P25" s="288"/>
      <c r="Q25" s="288"/>
      <c r="R25" s="294"/>
      <c r="S25" s="290"/>
      <c r="T25" s="290"/>
      <c r="U25" s="16" t="s">
        <v>3</v>
      </c>
      <c r="V25" s="16" t="s">
        <v>4</v>
      </c>
      <c r="W25" s="16" t="s">
        <v>5</v>
      </c>
      <c r="X25" s="16" t="s">
        <v>6</v>
      </c>
      <c r="Y25" s="16" t="s">
        <v>7</v>
      </c>
      <c r="Z25" s="16" t="s">
        <v>8</v>
      </c>
      <c r="AA25" s="16" t="s">
        <v>9</v>
      </c>
      <c r="AB25" s="288"/>
      <c r="AC25" s="288"/>
      <c r="AD25" s="288"/>
      <c r="AE25" s="289"/>
      <c r="AF25" s="288"/>
      <c r="AG25" s="288"/>
      <c r="AH25" s="288"/>
    </row>
    <row r="26" spans="1:34" ht="14.4" customHeight="1" x14ac:dyDescent="0.3">
      <c r="A26" s="292"/>
      <c r="B26" s="10" t="str">
        <f>'List of Courses'!B6</f>
        <v>EGL213</v>
      </c>
      <c r="C26" s="10" t="str">
        <f>'List of Courses'!C6</f>
        <v>Writing Skills</v>
      </c>
      <c r="D26" s="10">
        <f>'List of Courses'!D6</f>
        <v>3</v>
      </c>
      <c r="E26" s="10">
        <f>'List of Courses'!E6</f>
        <v>5</v>
      </c>
      <c r="F26" s="10">
        <f>'List of Courses'!F6</f>
        <v>125</v>
      </c>
      <c r="G26" s="10">
        <f>'List of Courses'!G6</f>
        <v>3</v>
      </c>
      <c r="H26" s="10">
        <f>'List of Courses'!H6</f>
        <v>0</v>
      </c>
      <c r="I26" s="10">
        <f>'List of Courses'!I6</f>
        <v>0</v>
      </c>
      <c r="J26" s="10">
        <f>'List of Courses'!J6</f>
        <v>3</v>
      </c>
      <c r="K26" s="10" t="str">
        <f>'List of Courses'!K6</f>
        <v>EGL112</v>
      </c>
      <c r="L26" s="10">
        <f>'List of Courses'!L6</f>
        <v>1</v>
      </c>
      <c r="M26" s="10">
        <f>'List of Courses'!M6</f>
        <v>0</v>
      </c>
      <c r="N26" s="10">
        <f>'List of Courses'!N6</f>
        <v>0</v>
      </c>
      <c r="O26" s="10">
        <f>'List of Courses'!O6</f>
        <v>0</v>
      </c>
      <c r="P26" s="10">
        <f>'List of Courses'!P6</f>
        <v>0</v>
      </c>
      <c r="Q26" s="10">
        <f>'List of Courses'!Q6</f>
        <v>0</v>
      </c>
      <c r="R26" s="294"/>
      <c r="S26" s="10" t="str">
        <f>'List of Courses'!B7</f>
        <v>EGL214</v>
      </c>
      <c r="T26" s="10" t="str">
        <f>'List of Courses'!C7</f>
        <v>Communication and Presentation Skills</v>
      </c>
      <c r="U26" s="10">
        <f>'List of Courses'!D7</f>
        <v>3</v>
      </c>
      <c r="V26" s="10">
        <f>'List of Courses'!E7</f>
        <v>5</v>
      </c>
      <c r="W26" s="10">
        <f>'List of Courses'!F7</f>
        <v>125</v>
      </c>
      <c r="X26" s="10">
        <f>'List of Courses'!G7</f>
        <v>3</v>
      </c>
      <c r="Y26" s="10">
        <f>'List of Courses'!H7</f>
        <v>0</v>
      </c>
      <c r="Z26" s="10">
        <f>'List of Courses'!I7</f>
        <v>0</v>
      </c>
      <c r="AA26" s="10">
        <f>'List of Courses'!J7</f>
        <v>3</v>
      </c>
      <c r="AB26" s="10" t="str">
        <f>'List of Courses'!K7</f>
        <v>EGL112</v>
      </c>
      <c r="AC26" s="10">
        <f>'List of Courses'!L7</f>
        <v>1</v>
      </c>
      <c r="AD26" s="10">
        <f>'List of Courses'!M7</f>
        <v>0</v>
      </c>
      <c r="AE26" s="10">
        <f>'List of Courses'!N7</f>
        <v>0</v>
      </c>
      <c r="AF26" s="10">
        <f>'List of Courses'!O7</f>
        <v>0</v>
      </c>
      <c r="AG26" s="10">
        <f>'List of Courses'!P7</f>
        <v>0</v>
      </c>
      <c r="AH26" s="10">
        <f>'List of Courses'!Q7</f>
        <v>0</v>
      </c>
    </row>
    <row r="27" spans="1:34" x14ac:dyDescent="0.3">
      <c r="A27" s="292"/>
      <c r="B27" s="34" t="str">
        <f>'List of Courses'!B13</f>
        <v>MTH214</v>
      </c>
      <c r="C27" s="34" t="str">
        <f>'List of Courses'!C13</f>
        <v xml:space="preserve">Linear Algebra &amp; Introduction to Machine Learning </v>
      </c>
      <c r="D27" s="34">
        <f>'List of Courses'!D13</f>
        <v>3</v>
      </c>
      <c r="E27" s="34">
        <f>'List of Courses'!E13</f>
        <v>5</v>
      </c>
      <c r="F27" s="34">
        <f>'List of Courses'!F13</f>
        <v>125</v>
      </c>
      <c r="G27" s="34">
        <f>'List of Courses'!G13</f>
        <v>2</v>
      </c>
      <c r="H27" s="34">
        <f>'List of Courses'!H13</f>
        <v>2</v>
      </c>
      <c r="I27" s="34">
        <f>'List of Courses'!I13</f>
        <v>0</v>
      </c>
      <c r="J27" s="34">
        <f>'List of Courses'!J13</f>
        <v>4</v>
      </c>
      <c r="K27" s="34" t="str">
        <f>'List of Courses'!K13</f>
        <v>--</v>
      </c>
      <c r="L27" s="34">
        <f>'List of Courses'!L13</f>
        <v>0</v>
      </c>
      <c r="M27" s="34">
        <f>'List of Courses'!M13</f>
        <v>1</v>
      </c>
      <c r="N27" s="4">
        <f>'List of Courses'!N13</f>
        <v>1</v>
      </c>
      <c r="O27" s="34">
        <f>'List of Courses'!O13</f>
        <v>0</v>
      </c>
      <c r="P27" s="34">
        <f>'List of Courses'!P13</f>
        <v>0</v>
      </c>
      <c r="Q27" s="34">
        <f>'List of Courses'!Q13</f>
        <v>0</v>
      </c>
      <c r="R27" s="294"/>
      <c r="S27" s="53" t="str">
        <f>'List of Courses'!B14</f>
        <v>MTH215</v>
      </c>
      <c r="T27" s="53" t="str">
        <f>'List of Courses'!C14</f>
        <v>Differential Equations</v>
      </c>
      <c r="U27" s="53">
        <f>'List of Courses'!D14</f>
        <v>3</v>
      </c>
      <c r="V27" s="53">
        <f>'List of Courses'!E14</f>
        <v>5</v>
      </c>
      <c r="W27" s="53">
        <f>'List of Courses'!F14</f>
        <v>125</v>
      </c>
      <c r="X27" s="53">
        <f>'List of Courses'!G14</f>
        <v>2</v>
      </c>
      <c r="Y27" s="53">
        <f>'List of Courses'!H14</f>
        <v>2</v>
      </c>
      <c r="Z27" s="53">
        <f>'List of Courses'!I14</f>
        <v>0</v>
      </c>
      <c r="AA27" s="53">
        <f>'List of Courses'!J14</f>
        <v>4</v>
      </c>
      <c r="AB27" s="53" t="str">
        <f>'List of Courses'!K14</f>
        <v>MTH112</v>
      </c>
      <c r="AC27" s="53">
        <f>'List of Courses'!L14</f>
        <v>0</v>
      </c>
      <c r="AD27" s="53">
        <f>'List of Courses'!M14</f>
        <v>0</v>
      </c>
      <c r="AE27" s="4">
        <f>'List of Courses'!N14</f>
        <v>1</v>
      </c>
      <c r="AF27" s="53">
        <f>'List of Courses'!O14</f>
        <v>1</v>
      </c>
      <c r="AG27" s="53">
        <f>'List of Courses'!P14</f>
        <v>0</v>
      </c>
      <c r="AH27" s="53">
        <f>'List of Courses'!Q14</f>
        <v>0</v>
      </c>
    </row>
    <row r="28" spans="1:34" x14ac:dyDescent="0.3">
      <c r="A28" s="292"/>
      <c r="B28" s="53" t="str">
        <f>'List of Courses'!B34</f>
        <v>CVL281</v>
      </c>
      <c r="C28" s="53" t="str">
        <f>'List of Courses'!C34</f>
        <v xml:space="preserve">Introduction to Surveying </v>
      </c>
      <c r="D28" s="53">
        <f>'List of Courses'!D34</f>
        <v>3</v>
      </c>
      <c r="E28" s="53">
        <f>'List of Courses'!E34</f>
        <v>5</v>
      </c>
      <c r="F28" s="53">
        <f>'List of Courses'!F34</f>
        <v>125</v>
      </c>
      <c r="G28" s="53">
        <f>'List of Courses'!G34</f>
        <v>1</v>
      </c>
      <c r="H28" s="53">
        <f>'List of Courses'!H34</f>
        <v>2</v>
      </c>
      <c r="I28" s="53">
        <f>'List of Courses'!I34</f>
        <v>2</v>
      </c>
      <c r="J28" s="53">
        <f>'List of Courses'!J34</f>
        <v>5</v>
      </c>
      <c r="K28" s="53" t="str">
        <f>'List of Courses'!K34</f>
        <v>--</v>
      </c>
      <c r="L28" s="53">
        <f>'List of Courses'!L34</f>
        <v>0</v>
      </c>
      <c r="M28" s="53">
        <f>'List of Courses'!M34</f>
        <v>0</v>
      </c>
      <c r="N28" s="53">
        <f>'List of Courses'!N34</f>
        <v>0</v>
      </c>
      <c r="O28" s="53">
        <f>'List of Courses'!O34</f>
        <v>1</v>
      </c>
      <c r="P28" s="53">
        <f>'List of Courses'!P34</f>
        <v>0</v>
      </c>
      <c r="Q28" s="53">
        <f>'List of Courses'!Q34</f>
        <v>0</v>
      </c>
      <c r="R28" s="294"/>
      <c r="S28" s="53" t="str">
        <f>'List of Courses'!B33</f>
        <v>CVL231</v>
      </c>
      <c r="T28" s="53" t="str">
        <f>'List of Courses'!C33</f>
        <v>Construction Project Management</v>
      </c>
      <c r="U28" s="53">
        <f>'List of Courses'!D33</f>
        <v>3</v>
      </c>
      <c r="V28" s="53">
        <f>'List of Courses'!E33</f>
        <v>5</v>
      </c>
      <c r="W28" s="53">
        <f>'List of Courses'!F33</f>
        <v>125</v>
      </c>
      <c r="X28" s="53">
        <f>'List of Courses'!G33</f>
        <v>2</v>
      </c>
      <c r="Y28" s="53">
        <f>'List of Courses'!H33</f>
        <v>2</v>
      </c>
      <c r="Z28" s="53">
        <f>'List of Courses'!I33</f>
        <v>0</v>
      </c>
      <c r="AA28" s="53">
        <f>'List of Courses'!J33</f>
        <v>4</v>
      </c>
      <c r="AB28" s="53" t="str">
        <f>'List of Courses'!K33</f>
        <v>--</v>
      </c>
      <c r="AC28" s="53">
        <f>'List of Courses'!L33</f>
        <v>0</v>
      </c>
      <c r="AD28" s="53">
        <f>'List of Courses'!M33</f>
        <v>0</v>
      </c>
      <c r="AE28" s="53">
        <f>'List of Courses'!N33</f>
        <v>0</v>
      </c>
      <c r="AF28" s="53">
        <f>'List of Courses'!O33</f>
        <v>1</v>
      </c>
      <c r="AG28" s="53">
        <f>'List of Courses'!P33</f>
        <v>0</v>
      </c>
      <c r="AH28" s="53">
        <f>'List of Courses'!Q33</f>
        <v>0</v>
      </c>
    </row>
    <row r="29" spans="1:34" ht="15" customHeight="1" x14ac:dyDescent="0.3">
      <c r="A29" s="292"/>
      <c r="B29" s="53" t="str">
        <f>'List of Courses'!B35</f>
        <v>CVL282</v>
      </c>
      <c r="C29" s="53" t="str">
        <f>'List of Courses'!C35</f>
        <v xml:space="preserve">Civil Engineering Drafting </v>
      </c>
      <c r="D29" s="53">
        <f>'List of Courses'!D35</f>
        <v>3</v>
      </c>
      <c r="E29" s="53">
        <f>'List of Courses'!E35</f>
        <v>5</v>
      </c>
      <c r="F29" s="53">
        <f>'List of Courses'!F35</f>
        <v>125</v>
      </c>
      <c r="G29" s="53">
        <f>'List of Courses'!G35</f>
        <v>1</v>
      </c>
      <c r="H29" s="53">
        <f>'List of Courses'!H35</f>
        <v>2</v>
      </c>
      <c r="I29" s="53">
        <f>'List of Courses'!I35</f>
        <v>2</v>
      </c>
      <c r="J29" s="53">
        <f>'List of Courses'!J35</f>
        <v>5</v>
      </c>
      <c r="K29" s="53" t="str">
        <f>'List of Courses'!K35</f>
        <v>INT121</v>
      </c>
      <c r="L29" s="53">
        <f>'List of Courses'!L35</f>
        <v>0</v>
      </c>
      <c r="M29" s="53">
        <f>'List of Courses'!M35</f>
        <v>0</v>
      </c>
      <c r="N29" s="53">
        <f>'List of Courses'!N35</f>
        <v>0</v>
      </c>
      <c r="O29" s="53">
        <f>'List of Courses'!O35</f>
        <v>1</v>
      </c>
      <c r="P29" s="53">
        <f>'List of Courses'!P35</f>
        <v>0</v>
      </c>
      <c r="Q29" s="53">
        <f>'List of Courses'!Q35</f>
        <v>0</v>
      </c>
      <c r="R29" s="294"/>
      <c r="S29" s="53" t="str">
        <f>'List of Courses'!B36</f>
        <v>CVL311</v>
      </c>
      <c r="T29" s="53" t="str">
        <f>'List of Courses'!C36</f>
        <v>Reinforced Concrete Design-1</v>
      </c>
      <c r="U29" s="53">
        <f>'List of Courses'!D36</f>
        <v>3</v>
      </c>
      <c r="V29" s="53">
        <f>'List of Courses'!E36</f>
        <v>5</v>
      </c>
      <c r="W29" s="53">
        <f>'List of Courses'!F36</f>
        <v>125</v>
      </c>
      <c r="X29" s="53">
        <f>'List of Courses'!G36</f>
        <v>2</v>
      </c>
      <c r="Y29" s="53">
        <f>'List of Courses'!H36</f>
        <v>2</v>
      </c>
      <c r="Z29" s="53">
        <f>'List of Courses'!I36</f>
        <v>0</v>
      </c>
      <c r="AA29" s="53">
        <f>'List of Courses'!J36</f>
        <v>4</v>
      </c>
      <c r="AB29" s="53" t="str">
        <f>'List of Courses'!K36</f>
        <v>CVL211</v>
      </c>
      <c r="AC29" s="53">
        <f>'List of Courses'!L36</f>
        <v>0</v>
      </c>
      <c r="AD29" s="53">
        <f>'List of Courses'!M36</f>
        <v>0</v>
      </c>
      <c r="AE29" s="53">
        <f>'List of Courses'!N36</f>
        <v>0</v>
      </c>
      <c r="AF29" s="53">
        <f>'List of Courses'!O36</f>
        <v>1</v>
      </c>
      <c r="AG29" s="53">
        <f>'List of Courses'!P36</f>
        <v>0</v>
      </c>
      <c r="AH29" s="53">
        <f>'List of Courses'!Q36</f>
        <v>0</v>
      </c>
    </row>
    <row r="30" spans="1:34" x14ac:dyDescent="0.3">
      <c r="A30" s="292"/>
      <c r="B30" s="53" t="str">
        <f>'List of Courses'!B31</f>
        <v>CVL212</v>
      </c>
      <c r="C30" s="53" t="str">
        <f>'List of Courses'!C31</f>
        <v>Structural Analysis-2</v>
      </c>
      <c r="D30" s="53">
        <f>'List of Courses'!D31</f>
        <v>3</v>
      </c>
      <c r="E30" s="53">
        <f>'List of Courses'!E31</f>
        <v>5</v>
      </c>
      <c r="F30" s="53">
        <f>'List of Courses'!F31</f>
        <v>125</v>
      </c>
      <c r="G30" s="53">
        <f>'List of Courses'!G31</f>
        <v>2</v>
      </c>
      <c r="H30" s="53">
        <f>'List of Courses'!H31</f>
        <v>2</v>
      </c>
      <c r="I30" s="53">
        <f>'List of Courses'!I31</f>
        <v>0</v>
      </c>
      <c r="J30" s="53">
        <f>'List of Courses'!J31</f>
        <v>4</v>
      </c>
      <c r="K30" s="53" t="str">
        <f>'List of Courses'!K31</f>
        <v>CVL211</v>
      </c>
      <c r="L30" s="53">
        <f>'List of Courses'!L31</f>
        <v>0</v>
      </c>
      <c r="M30" s="53">
        <f>'List of Courses'!M31</f>
        <v>0</v>
      </c>
      <c r="N30" s="53">
        <f>'List of Courses'!N31</f>
        <v>0</v>
      </c>
      <c r="O30" s="53">
        <f>'List of Courses'!O31</f>
        <v>1</v>
      </c>
      <c r="P30" s="53">
        <f>'List of Courses'!P31</f>
        <v>0</v>
      </c>
      <c r="Q30" s="53">
        <f>'List of Courses'!Q31</f>
        <v>0</v>
      </c>
      <c r="R30" s="294"/>
      <c r="S30" s="53" t="str">
        <f>'List of Courses'!B41</f>
        <v>CVL321</v>
      </c>
      <c r="T30" s="53" t="str">
        <f>'List of Courses'!C41</f>
        <v>Engineering Materials-2</v>
      </c>
      <c r="U30" s="53">
        <f>'List of Courses'!D41</f>
        <v>3</v>
      </c>
      <c r="V30" s="53">
        <f>'List of Courses'!E41</f>
        <v>5</v>
      </c>
      <c r="W30" s="53">
        <f>'List of Courses'!F41</f>
        <v>125</v>
      </c>
      <c r="X30" s="53">
        <f>'List of Courses'!G41</f>
        <v>2</v>
      </c>
      <c r="Y30" s="53">
        <f>'List of Courses'!H41</f>
        <v>1</v>
      </c>
      <c r="Z30" s="53">
        <f>'List of Courses'!I41</f>
        <v>1</v>
      </c>
      <c r="AA30" s="53">
        <f>'List of Courses'!J41</f>
        <v>4</v>
      </c>
      <c r="AB30" s="53" t="str">
        <f>'List of Courses'!K41</f>
        <v>CVL221</v>
      </c>
      <c r="AC30" s="53">
        <f>'List of Courses'!L41</f>
        <v>0</v>
      </c>
      <c r="AD30" s="53">
        <f>'List of Courses'!M41</f>
        <v>0</v>
      </c>
      <c r="AE30" s="53">
        <f>'List of Courses'!N41</f>
        <v>0</v>
      </c>
      <c r="AF30" s="53">
        <f>'List of Courses'!O41</f>
        <v>1</v>
      </c>
      <c r="AG30" s="53">
        <f>'List of Courses'!P41</f>
        <v>0</v>
      </c>
      <c r="AH30" s="53">
        <f>'List of Courses'!Q41</f>
        <v>0</v>
      </c>
    </row>
    <row r="31" spans="1:34" x14ac:dyDescent="0.3">
      <c r="A31" s="292"/>
      <c r="B31" s="53" t="str">
        <f>'List of Courses'!B32</f>
        <v>CVL221</v>
      </c>
      <c r="C31" s="53" t="str">
        <f>'List of Courses'!C32</f>
        <v>Engineering Materials-1</v>
      </c>
      <c r="D31" s="53">
        <f>'List of Courses'!D32</f>
        <v>3</v>
      </c>
      <c r="E31" s="53">
        <f>'List of Courses'!E32</f>
        <v>5</v>
      </c>
      <c r="F31" s="53">
        <f>'List of Courses'!F32</f>
        <v>125</v>
      </c>
      <c r="G31" s="53">
        <f>'List of Courses'!G32</f>
        <v>2</v>
      </c>
      <c r="H31" s="53">
        <f>'List of Courses'!H32</f>
        <v>1</v>
      </c>
      <c r="I31" s="53">
        <f>'List of Courses'!I32</f>
        <v>1</v>
      </c>
      <c r="J31" s="53">
        <f>'List of Courses'!J32</f>
        <v>4</v>
      </c>
      <c r="K31" s="53" t="str">
        <f>'List of Courses'!K32</f>
        <v>--</v>
      </c>
      <c r="L31" s="53">
        <f>'List of Courses'!L32</f>
        <v>0</v>
      </c>
      <c r="M31" s="53">
        <f>'List of Courses'!M32</f>
        <v>0</v>
      </c>
      <c r="N31" s="53">
        <f>'List of Courses'!N32</f>
        <v>0</v>
      </c>
      <c r="O31" s="53">
        <f>'List of Courses'!O32</f>
        <v>1</v>
      </c>
      <c r="P31" s="53">
        <f>'List of Courses'!P32</f>
        <v>0</v>
      </c>
      <c r="Q31" s="53">
        <f>'List of Courses'!Q32</f>
        <v>0</v>
      </c>
      <c r="R31" s="294"/>
      <c r="S31" s="53" t="str">
        <f>'List of Courses'!B42</f>
        <v>CVL331</v>
      </c>
      <c r="T31" s="53" t="str">
        <f>'List of Courses'!C42</f>
        <v>Construction Engineering &amp; Methods</v>
      </c>
      <c r="U31" s="53">
        <f>'List of Courses'!D42</f>
        <v>3</v>
      </c>
      <c r="V31" s="53">
        <f>'List of Courses'!E42</f>
        <v>5</v>
      </c>
      <c r="W31" s="53">
        <f>'List of Courses'!F42</f>
        <v>125</v>
      </c>
      <c r="X31" s="53">
        <f>'List of Courses'!G42</f>
        <v>2</v>
      </c>
      <c r="Y31" s="53">
        <f>'List of Courses'!H42</f>
        <v>2</v>
      </c>
      <c r="Z31" s="53">
        <f>'List of Courses'!I42</f>
        <v>0</v>
      </c>
      <c r="AA31" s="53">
        <f>'List of Courses'!J42</f>
        <v>4</v>
      </c>
      <c r="AB31" s="53" t="str">
        <f>'List of Courses'!K42</f>
        <v>--</v>
      </c>
      <c r="AC31" s="53">
        <f>'List of Courses'!L42</f>
        <v>0</v>
      </c>
      <c r="AD31" s="53">
        <f>'List of Courses'!M42</f>
        <v>0</v>
      </c>
      <c r="AE31" s="53">
        <f>'List of Courses'!N42</f>
        <v>0</v>
      </c>
      <c r="AF31" s="53">
        <f>'List of Courses'!O42</f>
        <v>1</v>
      </c>
      <c r="AG31" s="53">
        <f>'List of Courses'!P42</f>
        <v>0</v>
      </c>
      <c r="AH31" s="53">
        <f>'List of Courses'!Q42</f>
        <v>0</v>
      </c>
    </row>
    <row r="32" spans="1:34" x14ac:dyDescent="0.3">
      <c r="A32" s="292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294"/>
      <c r="S32" s="53" t="str">
        <f>'List of Courses'!B49</f>
        <v>CVL391</v>
      </c>
      <c r="T32" s="53" t="str">
        <f>'List of Courses'!C49</f>
        <v>Practical Training-1</v>
      </c>
      <c r="U32" s="53">
        <f>'List of Courses'!D49</f>
        <v>0</v>
      </c>
      <c r="V32" s="53">
        <f>'List of Courses'!E49</f>
        <v>0</v>
      </c>
      <c r="W32" s="53">
        <f>'List of Courses'!F49</f>
        <v>0</v>
      </c>
      <c r="X32" s="53">
        <f>'List of Courses'!G49</f>
        <v>0</v>
      </c>
      <c r="Y32" s="53">
        <f>'List of Courses'!H49</f>
        <v>0</v>
      </c>
      <c r="Z32" s="53">
        <f>'List of Courses'!I49</f>
        <v>0</v>
      </c>
      <c r="AA32" s="53">
        <f>'List of Courses'!J49</f>
        <v>0</v>
      </c>
      <c r="AB32" s="53" t="str">
        <f>'List of Courses'!K49</f>
        <v>--</v>
      </c>
      <c r="AC32" s="53">
        <f>'List of Courses'!L49</f>
        <v>0</v>
      </c>
      <c r="AD32" s="53">
        <f>'List of Courses'!M49</f>
        <v>0</v>
      </c>
      <c r="AE32" s="53">
        <f>'List of Courses'!N49</f>
        <v>0</v>
      </c>
      <c r="AF32" s="53">
        <f>'List of Courses'!O49</f>
        <v>1</v>
      </c>
      <c r="AG32" s="53">
        <f>'List of Courses'!P49</f>
        <v>0</v>
      </c>
      <c r="AH32" s="53">
        <f>'List of Courses'!Q49</f>
        <v>0</v>
      </c>
    </row>
    <row r="33" spans="1:34" x14ac:dyDescent="0.3">
      <c r="A33" s="292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295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</row>
    <row r="34" spans="1:34" x14ac:dyDescent="0.3">
      <c r="D34" s="41">
        <f>SUM(D26:D33)</f>
        <v>18</v>
      </c>
      <c r="E34" s="41">
        <f>SUM(E26:E33)</f>
        <v>30</v>
      </c>
      <c r="F34" s="41">
        <f t="shared" ref="F34:I34" si="4">SUM(F26:F33)</f>
        <v>750</v>
      </c>
      <c r="G34" s="92">
        <f t="shared" si="4"/>
        <v>11</v>
      </c>
      <c r="H34" s="92">
        <f t="shared" si="4"/>
        <v>9</v>
      </c>
      <c r="I34" s="92">
        <f t="shared" si="4"/>
        <v>5</v>
      </c>
      <c r="J34" s="41">
        <f>SUM(J26:J33)</f>
        <v>25</v>
      </c>
      <c r="L34" s="6"/>
      <c r="M34" s="6"/>
      <c r="N34" s="6"/>
      <c r="O34" s="6"/>
      <c r="P34" s="6"/>
      <c r="Q34" s="6"/>
      <c r="U34" s="41">
        <f t="shared" ref="U34:AA34" si="5">SUM(U26:U33)</f>
        <v>18</v>
      </c>
      <c r="V34" s="41">
        <f t="shared" si="5"/>
        <v>30</v>
      </c>
      <c r="W34" s="41">
        <f t="shared" si="5"/>
        <v>750</v>
      </c>
      <c r="X34" s="41">
        <f t="shared" si="5"/>
        <v>13</v>
      </c>
      <c r="Y34" s="41">
        <f t="shared" si="5"/>
        <v>9</v>
      </c>
      <c r="Z34" s="41">
        <f t="shared" si="5"/>
        <v>1</v>
      </c>
      <c r="AA34" s="41">
        <f t="shared" si="5"/>
        <v>23</v>
      </c>
      <c r="AC34" s="1"/>
      <c r="AD34" s="1"/>
      <c r="AE34" s="1"/>
      <c r="AF34" s="1"/>
      <c r="AG34" s="1"/>
    </row>
    <row r="35" spans="1:34" x14ac:dyDescent="0.3">
      <c r="L35" s="1"/>
      <c r="M35" s="1"/>
      <c r="N35" s="1"/>
      <c r="O35" s="1"/>
      <c r="P35" s="1"/>
      <c r="Q35" s="1"/>
    </row>
    <row r="36" spans="1:34" ht="14.4" customHeight="1" x14ac:dyDescent="0.3">
      <c r="A36" s="292" t="s">
        <v>47</v>
      </c>
      <c r="B36" s="290" t="s">
        <v>17</v>
      </c>
      <c r="C36" s="290" t="s">
        <v>18</v>
      </c>
      <c r="D36" s="290" t="s">
        <v>1</v>
      </c>
      <c r="E36" s="290"/>
      <c r="F36" s="290"/>
      <c r="G36" s="290" t="s">
        <v>2</v>
      </c>
      <c r="H36" s="290"/>
      <c r="I36" s="290"/>
      <c r="J36" s="290"/>
      <c r="K36" s="288" t="s">
        <v>19</v>
      </c>
      <c r="L36" s="288" t="s">
        <v>20</v>
      </c>
      <c r="M36" s="288" t="s">
        <v>21</v>
      </c>
      <c r="N36" s="289" t="s">
        <v>111</v>
      </c>
      <c r="O36" s="288" t="s">
        <v>22</v>
      </c>
      <c r="P36" s="288" t="s">
        <v>98</v>
      </c>
      <c r="Q36" s="288" t="s">
        <v>89</v>
      </c>
      <c r="R36" s="293" t="s">
        <v>48</v>
      </c>
      <c r="S36" s="290" t="s">
        <v>17</v>
      </c>
      <c r="T36" s="290" t="s">
        <v>18</v>
      </c>
      <c r="U36" s="290" t="s">
        <v>1</v>
      </c>
      <c r="V36" s="290"/>
      <c r="W36" s="290"/>
      <c r="X36" s="290" t="s">
        <v>2</v>
      </c>
      <c r="Y36" s="290"/>
      <c r="Z36" s="290"/>
      <c r="AA36" s="290"/>
      <c r="AB36" s="288" t="s">
        <v>19</v>
      </c>
      <c r="AC36" s="288" t="s">
        <v>20</v>
      </c>
      <c r="AD36" s="288" t="s">
        <v>21</v>
      </c>
      <c r="AE36" s="289" t="s">
        <v>111</v>
      </c>
      <c r="AF36" s="288" t="s">
        <v>22</v>
      </c>
      <c r="AG36" s="288" t="s">
        <v>98</v>
      </c>
      <c r="AH36" s="288" t="s">
        <v>89</v>
      </c>
    </row>
    <row r="37" spans="1:34" x14ac:dyDescent="0.3">
      <c r="A37" s="292"/>
      <c r="B37" s="290"/>
      <c r="C37" s="290"/>
      <c r="D37" s="16" t="s">
        <v>3</v>
      </c>
      <c r="E37" s="16" t="s">
        <v>4</v>
      </c>
      <c r="F37" s="16" t="s">
        <v>5</v>
      </c>
      <c r="G37" s="16" t="s">
        <v>6</v>
      </c>
      <c r="H37" s="16" t="s">
        <v>7</v>
      </c>
      <c r="I37" s="16" t="s">
        <v>8</v>
      </c>
      <c r="J37" s="16" t="s">
        <v>9</v>
      </c>
      <c r="K37" s="288"/>
      <c r="L37" s="288"/>
      <c r="M37" s="288"/>
      <c r="N37" s="289"/>
      <c r="O37" s="288"/>
      <c r="P37" s="288"/>
      <c r="Q37" s="288"/>
      <c r="R37" s="294"/>
      <c r="S37" s="290"/>
      <c r="T37" s="290"/>
      <c r="U37" s="16" t="s">
        <v>3</v>
      </c>
      <c r="V37" s="16" t="s">
        <v>4</v>
      </c>
      <c r="W37" s="16" t="s">
        <v>5</v>
      </c>
      <c r="X37" s="16" t="s">
        <v>6</v>
      </c>
      <c r="Y37" s="16" t="s">
        <v>7</v>
      </c>
      <c r="Z37" s="16" t="s">
        <v>8</v>
      </c>
      <c r="AA37" s="16" t="s">
        <v>9</v>
      </c>
      <c r="AB37" s="288"/>
      <c r="AC37" s="288"/>
      <c r="AD37" s="288"/>
      <c r="AE37" s="289"/>
      <c r="AF37" s="288"/>
      <c r="AG37" s="288"/>
      <c r="AH37" s="288"/>
    </row>
    <row r="38" spans="1:34" ht="14.4" customHeight="1" x14ac:dyDescent="0.3">
      <c r="A38" s="292"/>
      <c r="B38" s="53" t="str">
        <f>'List of Courses'!B37</f>
        <v>CVL312</v>
      </c>
      <c r="C38" s="53" t="str">
        <f>'List of Courses'!C37</f>
        <v>Soil Mechanics</v>
      </c>
      <c r="D38" s="53">
        <f>'List of Courses'!D37</f>
        <v>3</v>
      </c>
      <c r="E38" s="53">
        <f>'List of Courses'!E37</f>
        <v>5</v>
      </c>
      <c r="F38" s="53">
        <f>'List of Courses'!F37</f>
        <v>125</v>
      </c>
      <c r="G38" s="53">
        <f>'List of Courses'!G37</f>
        <v>2</v>
      </c>
      <c r="H38" s="53">
        <f>'List of Courses'!H37</f>
        <v>1</v>
      </c>
      <c r="I38" s="53">
        <f>'List of Courses'!I37</f>
        <v>1</v>
      </c>
      <c r="J38" s="53">
        <f>'List of Courses'!J37</f>
        <v>4</v>
      </c>
      <c r="K38" s="53" t="str">
        <f>'List of Courses'!K37</f>
        <v>CVL221</v>
      </c>
      <c r="L38" s="53">
        <f>'List of Courses'!L37</f>
        <v>0</v>
      </c>
      <c r="M38" s="53">
        <f>'List of Courses'!M37</f>
        <v>0</v>
      </c>
      <c r="N38" s="53">
        <f>'List of Courses'!N37</f>
        <v>0</v>
      </c>
      <c r="O38" s="53">
        <f>'List of Courses'!O37</f>
        <v>1</v>
      </c>
      <c r="P38" s="53">
        <f>'List of Courses'!P37</f>
        <v>0</v>
      </c>
      <c r="Q38" s="53">
        <f>'List of Courses'!Q37</f>
        <v>0</v>
      </c>
      <c r="R38" s="294"/>
      <c r="S38" s="53" t="str">
        <f>'List of Courses'!B40</f>
        <v>CVL315</v>
      </c>
      <c r="T38" s="53" t="str">
        <f>'List of Courses'!C40</f>
        <v>Structural Steel Design</v>
      </c>
      <c r="U38" s="53">
        <f>'List of Courses'!D40</f>
        <v>3</v>
      </c>
      <c r="V38" s="53">
        <f>'List of Courses'!E40</f>
        <v>5</v>
      </c>
      <c r="W38" s="53">
        <f>'List of Courses'!F40</f>
        <v>125</v>
      </c>
      <c r="X38" s="53">
        <f>'List of Courses'!G40</f>
        <v>2</v>
      </c>
      <c r="Y38" s="53">
        <f>'List of Courses'!H40</f>
        <v>2</v>
      </c>
      <c r="Z38" s="53">
        <f>'List of Courses'!I40</f>
        <v>0</v>
      </c>
      <c r="AA38" s="53">
        <f>'List of Courses'!J40</f>
        <v>4</v>
      </c>
      <c r="AB38" s="53" t="str">
        <f>'List of Courses'!K40</f>
        <v>CVL212</v>
      </c>
      <c r="AC38" s="53">
        <f>'List of Courses'!L40</f>
        <v>0</v>
      </c>
      <c r="AD38" s="53">
        <f>'List of Courses'!M40</f>
        <v>0</v>
      </c>
      <c r="AE38" s="53">
        <f>'List of Courses'!N40</f>
        <v>0</v>
      </c>
      <c r="AF38" s="53">
        <f>'List of Courses'!O40</f>
        <v>1</v>
      </c>
      <c r="AG38" s="53">
        <f>'List of Courses'!P40</f>
        <v>0</v>
      </c>
      <c r="AH38" s="53">
        <f>'List of Courses'!Q40</f>
        <v>0</v>
      </c>
    </row>
    <row r="39" spans="1:34" x14ac:dyDescent="0.3">
      <c r="A39" s="292"/>
      <c r="B39" s="56" t="str">
        <f>'List of Courses'!B38</f>
        <v>CVL313</v>
      </c>
      <c r="C39" s="56" t="str">
        <f>'List of Courses'!C38</f>
        <v>Structure Analysis-3</v>
      </c>
      <c r="D39" s="56">
        <f>'List of Courses'!D38</f>
        <v>3</v>
      </c>
      <c r="E39" s="56">
        <f>'List of Courses'!E38</f>
        <v>5</v>
      </c>
      <c r="F39" s="56">
        <f>'List of Courses'!F38</f>
        <v>125</v>
      </c>
      <c r="G39" s="56">
        <f>'List of Courses'!G38</f>
        <v>2</v>
      </c>
      <c r="H39" s="56">
        <f>'List of Courses'!H38</f>
        <v>2</v>
      </c>
      <c r="I39" s="56">
        <f>'List of Courses'!I38</f>
        <v>0</v>
      </c>
      <c r="J39" s="56">
        <f>'List of Courses'!J38</f>
        <v>4</v>
      </c>
      <c r="K39" s="56" t="str">
        <f>'List of Courses'!K38</f>
        <v>CVL212</v>
      </c>
      <c r="L39" s="56">
        <f>'List of Courses'!L38</f>
        <v>0</v>
      </c>
      <c r="M39" s="56">
        <f>'List of Courses'!M38</f>
        <v>0</v>
      </c>
      <c r="N39" s="56">
        <f>'List of Courses'!N38</f>
        <v>0</v>
      </c>
      <c r="O39" s="56">
        <f>'List of Courses'!O38</f>
        <v>0</v>
      </c>
      <c r="P39" s="56">
        <f>'List of Courses'!P38</f>
        <v>1</v>
      </c>
      <c r="Q39" s="56">
        <f>'List of Courses'!Q38</f>
        <v>0</v>
      </c>
      <c r="R39" s="294"/>
      <c r="S39" s="56" t="str">
        <f>'List of Courses'!B47</f>
        <v>CVL361</v>
      </c>
      <c r="T39" s="56" t="str">
        <f>'List of Courses'!C47</f>
        <v>Python for Structural Programming</v>
      </c>
      <c r="U39" s="56">
        <f>'List of Courses'!D47</f>
        <v>3</v>
      </c>
      <c r="V39" s="56">
        <f>'List of Courses'!E47</f>
        <v>5</v>
      </c>
      <c r="W39" s="56">
        <f>'List of Courses'!F47</f>
        <v>125</v>
      </c>
      <c r="X39" s="56">
        <f>'List of Courses'!G47</f>
        <v>2</v>
      </c>
      <c r="Y39" s="56">
        <f>'List of Courses'!H47</f>
        <v>1</v>
      </c>
      <c r="Z39" s="56">
        <f>'List of Courses'!I47</f>
        <v>1</v>
      </c>
      <c r="AA39" s="56">
        <f>'List of Courses'!J47</f>
        <v>4</v>
      </c>
      <c r="AB39" s="56" t="str">
        <f>'List of Courses'!K47</f>
        <v>ECE151</v>
      </c>
      <c r="AC39" s="56">
        <f>'List of Courses'!L47</f>
        <v>0</v>
      </c>
      <c r="AD39" s="56">
        <f>'List of Courses'!M47</f>
        <v>0</v>
      </c>
      <c r="AE39" s="56">
        <f>'List of Courses'!N47</f>
        <v>0</v>
      </c>
      <c r="AF39" s="56">
        <f>'List of Courses'!O47</f>
        <v>0</v>
      </c>
      <c r="AG39" s="56">
        <f>'List of Courses'!P47</f>
        <v>1</v>
      </c>
      <c r="AH39" s="56">
        <f>'List of Courses'!Q47</f>
        <v>0</v>
      </c>
    </row>
    <row r="40" spans="1:34" x14ac:dyDescent="0.3">
      <c r="A40" s="292"/>
      <c r="B40" s="53" t="str">
        <f>'List of Courses'!B39</f>
        <v>CVL314</v>
      </c>
      <c r="C40" s="53" t="str">
        <f>'List of Courses'!C39</f>
        <v>Reinforced Concrete Design-2</v>
      </c>
      <c r="D40" s="53">
        <f>'List of Courses'!D39</f>
        <v>3</v>
      </c>
      <c r="E40" s="53">
        <f>'List of Courses'!E39</f>
        <v>5</v>
      </c>
      <c r="F40" s="53">
        <f>'List of Courses'!F39</f>
        <v>125</v>
      </c>
      <c r="G40" s="53">
        <f>'List of Courses'!G39</f>
        <v>2</v>
      </c>
      <c r="H40" s="53">
        <f>'List of Courses'!H39</f>
        <v>2</v>
      </c>
      <c r="I40" s="53">
        <f>'List of Courses'!I39</f>
        <v>0</v>
      </c>
      <c r="J40" s="53">
        <f>'List of Courses'!J39</f>
        <v>4</v>
      </c>
      <c r="K40" s="53" t="str">
        <f>'List of Courses'!K39</f>
        <v>CVL311</v>
      </c>
      <c r="L40" s="53">
        <f>'List of Courses'!L39</f>
        <v>0</v>
      </c>
      <c r="M40" s="53">
        <f>'List of Courses'!M39</f>
        <v>0</v>
      </c>
      <c r="N40" s="53">
        <f>'List of Courses'!N39</f>
        <v>0</v>
      </c>
      <c r="O40" s="53">
        <f>'List of Courses'!O39</f>
        <v>1</v>
      </c>
      <c r="P40" s="53">
        <f>'List of Courses'!P39</f>
        <v>0</v>
      </c>
      <c r="Q40" s="53">
        <f>'List of Courses'!Q39</f>
        <v>0</v>
      </c>
      <c r="R40" s="294"/>
      <c r="S40" s="53" t="str">
        <f>'List of Courses'!B50</f>
        <v>CVL392</v>
      </c>
      <c r="T40" s="53" t="str">
        <f>'List of Courses'!C50</f>
        <v>Practical Training-2</v>
      </c>
      <c r="U40" s="53">
        <f>'List of Courses'!D50</f>
        <v>0</v>
      </c>
      <c r="V40" s="53">
        <f>'List of Courses'!E50</f>
        <v>0</v>
      </c>
      <c r="W40" s="53">
        <f>'List of Courses'!F50</f>
        <v>0</v>
      </c>
      <c r="X40" s="53">
        <f>'List of Courses'!G50</f>
        <v>0</v>
      </c>
      <c r="Y40" s="53">
        <f>'List of Courses'!H50</f>
        <v>0</v>
      </c>
      <c r="Z40" s="53">
        <f>'List of Courses'!I50</f>
        <v>0</v>
      </c>
      <c r="AA40" s="53">
        <f>'List of Courses'!J50</f>
        <v>0</v>
      </c>
      <c r="AB40" s="53" t="str">
        <f>'List of Courses'!K50</f>
        <v>CVL391 (CO)</v>
      </c>
      <c r="AC40" s="53">
        <f>'List of Courses'!L50</f>
        <v>0</v>
      </c>
      <c r="AD40" s="53">
        <f>'List of Courses'!M50</f>
        <v>0</v>
      </c>
      <c r="AE40" s="53">
        <f>'List of Courses'!N50</f>
        <v>0</v>
      </c>
      <c r="AF40" s="53">
        <f>'List of Courses'!O50</f>
        <v>1</v>
      </c>
      <c r="AG40" s="53">
        <f>'List of Courses'!P50</f>
        <v>0</v>
      </c>
      <c r="AH40" s="53">
        <f>'List of Courses'!Q50</f>
        <v>0</v>
      </c>
    </row>
    <row r="41" spans="1:34" x14ac:dyDescent="0.3">
      <c r="A41" s="292"/>
      <c r="B41" s="56" t="str">
        <f>'List of Courses'!B43</f>
        <v>CVL332</v>
      </c>
      <c r="C41" s="56" t="str">
        <f>'List of Courses'!C43</f>
        <v>Quantity Surveying, Estimation and Specifications</v>
      </c>
      <c r="D41" s="56">
        <f>'List of Courses'!D43</f>
        <v>3</v>
      </c>
      <c r="E41" s="56">
        <f>'List of Courses'!E43</f>
        <v>5</v>
      </c>
      <c r="F41" s="56">
        <f>'List of Courses'!F43</f>
        <v>125</v>
      </c>
      <c r="G41" s="56">
        <f>'List of Courses'!G43</f>
        <v>2</v>
      </c>
      <c r="H41" s="56">
        <f>'List of Courses'!H43</f>
        <v>2</v>
      </c>
      <c r="I41" s="56">
        <f>'List of Courses'!I43</f>
        <v>0</v>
      </c>
      <c r="J41" s="56">
        <f>'List of Courses'!J43</f>
        <v>4</v>
      </c>
      <c r="K41" s="56" t="str">
        <f>'List of Courses'!K43</f>
        <v>CVL231</v>
      </c>
      <c r="L41" s="56">
        <f>'List of Courses'!L43</f>
        <v>0</v>
      </c>
      <c r="M41" s="56">
        <f>'List of Courses'!M43</f>
        <v>0</v>
      </c>
      <c r="N41" s="56">
        <f>'List of Courses'!N43</f>
        <v>0</v>
      </c>
      <c r="O41" s="56">
        <f>'List of Courses'!O43</f>
        <v>0</v>
      </c>
      <c r="P41" s="56">
        <f>'List of Courses'!P43</f>
        <v>1</v>
      </c>
      <c r="Q41" s="56">
        <f>'List of Courses'!Q43</f>
        <v>0</v>
      </c>
      <c r="R41" s="294"/>
      <c r="S41" s="53" t="str">
        <f>'List of Courses'!B51</f>
        <v>CVL411</v>
      </c>
      <c r="T41" s="53" t="str">
        <f>'List of Courses'!C51</f>
        <v>Design &amp; Construction of Foundations</v>
      </c>
      <c r="U41" s="53">
        <f>'List of Courses'!D51</f>
        <v>3</v>
      </c>
      <c r="V41" s="53">
        <f>'List of Courses'!E51</f>
        <v>5</v>
      </c>
      <c r="W41" s="53">
        <f>'List of Courses'!F51</f>
        <v>125</v>
      </c>
      <c r="X41" s="53">
        <f>'List of Courses'!G51</f>
        <v>2</v>
      </c>
      <c r="Y41" s="53">
        <f>'List of Courses'!H51</f>
        <v>2</v>
      </c>
      <c r="Z41" s="53">
        <f>'List of Courses'!I51</f>
        <v>0</v>
      </c>
      <c r="AA41" s="53">
        <f>'List of Courses'!J51</f>
        <v>4</v>
      </c>
      <c r="AB41" s="53" t="str">
        <f>'List of Courses'!K51</f>
        <v>CVL312</v>
      </c>
      <c r="AC41" s="53">
        <f>'List of Courses'!L51</f>
        <v>0</v>
      </c>
      <c r="AD41" s="53">
        <f>'List of Courses'!M51</f>
        <v>0</v>
      </c>
      <c r="AE41" s="53">
        <f>'List of Courses'!N51</f>
        <v>0</v>
      </c>
      <c r="AF41" s="53">
        <f>'List of Courses'!O51</f>
        <v>1</v>
      </c>
      <c r="AG41" s="53">
        <f>'List of Courses'!P51</f>
        <v>0</v>
      </c>
      <c r="AH41" s="53">
        <f>'List of Courses'!Q51</f>
        <v>0</v>
      </c>
    </row>
    <row r="42" spans="1:34" x14ac:dyDescent="0.3">
      <c r="A42" s="292"/>
      <c r="B42" s="53" t="str">
        <f>'List of Courses'!B46</f>
        <v>CVL341</v>
      </c>
      <c r="C42" s="53" t="str">
        <f>'List of Courses'!C46</f>
        <v>Fluid Mechanics</v>
      </c>
      <c r="D42" s="53">
        <f>'List of Courses'!D46</f>
        <v>3</v>
      </c>
      <c r="E42" s="53">
        <f>'List of Courses'!E46</f>
        <v>5</v>
      </c>
      <c r="F42" s="53">
        <f>'List of Courses'!F46</f>
        <v>125</v>
      </c>
      <c r="G42" s="53">
        <f>'List of Courses'!G46</f>
        <v>2</v>
      </c>
      <c r="H42" s="53">
        <f>'List of Courses'!H46</f>
        <v>1</v>
      </c>
      <c r="I42" s="53">
        <f>'List of Courses'!I46</f>
        <v>1</v>
      </c>
      <c r="J42" s="53">
        <f>'List of Courses'!J46</f>
        <v>4</v>
      </c>
      <c r="K42" s="53" t="str">
        <f>'List of Courses'!K46</f>
        <v>MTH215</v>
      </c>
      <c r="L42" s="53">
        <f>'List of Courses'!L46</f>
        <v>0</v>
      </c>
      <c r="M42" s="53">
        <f>'List of Courses'!M46</f>
        <v>0</v>
      </c>
      <c r="N42" s="53">
        <f>'List of Courses'!N46</f>
        <v>0</v>
      </c>
      <c r="O42" s="53">
        <f>'List of Courses'!O46</f>
        <v>1</v>
      </c>
      <c r="P42" s="53">
        <f>'List of Courses'!P46</f>
        <v>0</v>
      </c>
      <c r="Q42" s="53">
        <f>'List of Courses'!Q46</f>
        <v>0</v>
      </c>
      <c r="R42" s="294"/>
      <c r="S42" s="56" t="str">
        <f>'List of Courses'!B52</f>
        <v>CVL412</v>
      </c>
      <c r="T42" s="56" t="str">
        <f>'List of Courses'!C52</f>
        <v>Reinforced Concrete Design-3</v>
      </c>
      <c r="U42" s="56">
        <f>'List of Courses'!D52</f>
        <v>3</v>
      </c>
      <c r="V42" s="56">
        <f>'List of Courses'!E52</f>
        <v>5</v>
      </c>
      <c r="W42" s="56">
        <f>'List of Courses'!F52</f>
        <v>125</v>
      </c>
      <c r="X42" s="56">
        <f>'List of Courses'!G52</f>
        <v>2</v>
      </c>
      <c r="Y42" s="56">
        <f>'List of Courses'!H52</f>
        <v>2</v>
      </c>
      <c r="Z42" s="56">
        <f>'List of Courses'!I52</f>
        <v>0</v>
      </c>
      <c r="AA42" s="56">
        <f>'List of Courses'!J52</f>
        <v>4</v>
      </c>
      <c r="AB42" s="56" t="str">
        <f>'List of Courses'!K52</f>
        <v>CVL314</v>
      </c>
      <c r="AC42" s="56">
        <f>'List of Courses'!L52</f>
        <v>0</v>
      </c>
      <c r="AD42" s="56">
        <f>'List of Courses'!M52</f>
        <v>0</v>
      </c>
      <c r="AE42" s="56">
        <f>'List of Courses'!N52</f>
        <v>0</v>
      </c>
      <c r="AF42" s="56">
        <f>'List of Courses'!O52</f>
        <v>0</v>
      </c>
      <c r="AG42" s="56">
        <f>'List of Courses'!P52</f>
        <v>1</v>
      </c>
      <c r="AH42" s="56">
        <f>'List of Courses'!Q52</f>
        <v>0</v>
      </c>
    </row>
    <row r="43" spans="1:34" x14ac:dyDescent="0.3">
      <c r="A43" s="292"/>
      <c r="B43" s="56" t="str">
        <f>'List of Courses'!B65</f>
        <v>CVL461</v>
      </c>
      <c r="C43" s="56" t="str">
        <f>'List of Courses'!C65</f>
        <v>Smart Cities and Intelligent Systems</v>
      </c>
      <c r="D43" s="56">
        <f>'List of Courses'!D65</f>
        <v>3</v>
      </c>
      <c r="E43" s="56">
        <f>'List of Courses'!E65</f>
        <v>5</v>
      </c>
      <c r="F43" s="56">
        <f>'List of Courses'!F65</f>
        <v>125</v>
      </c>
      <c r="G43" s="56">
        <f>'List of Courses'!G65</f>
        <v>2</v>
      </c>
      <c r="H43" s="56">
        <f>'List of Courses'!H65</f>
        <v>2</v>
      </c>
      <c r="I43" s="56">
        <f>'List of Courses'!I65</f>
        <v>0</v>
      </c>
      <c r="J43" s="56">
        <f>'List of Courses'!J65</f>
        <v>4</v>
      </c>
      <c r="K43" s="56" t="str">
        <f>'List of Courses'!K65</f>
        <v>--</v>
      </c>
      <c r="L43" s="56">
        <f>'List of Courses'!L65</f>
        <v>0</v>
      </c>
      <c r="M43" s="56">
        <f>'List of Courses'!M65</f>
        <v>0</v>
      </c>
      <c r="N43" s="56">
        <f>'List of Courses'!N65</f>
        <v>0</v>
      </c>
      <c r="O43" s="56">
        <f>'List of Courses'!O65</f>
        <v>0</v>
      </c>
      <c r="P43" s="56">
        <f>'List of Courses'!P65</f>
        <v>1</v>
      </c>
      <c r="Q43" s="56">
        <f>'List of Courses'!Q65</f>
        <v>0</v>
      </c>
      <c r="R43" s="294"/>
      <c r="S43" s="53" t="str">
        <f>'List of Courses'!B63</f>
        <v>CVL441</v>
      </c>
      <c r="T43" s="53" t="str">
        <f>'List of Courses'!C63</f>
        <v>Fundamentals of Hydraulic Engineering</v>
      </c>
      <c r="U43" s="53">
        <f>'List of Courses'!D63</f>
        <v>3</v>
      </c>
      <c r="V43" s="53">
        <f>'List of Courses'!E63</f>
        <v>5</v>
      </c>
      <c r="W43" s="53">
        <f>'List of Courses'!F63</f>
        <v>125</v>
      </c>
      <c r="X43" s="53">
        <f>'List of Courses'!G63</f>
        <v>2</v>
      </c>
      <c r="Y43" s="53">
        <f>'List of Courses'!H63</f>
        <v>1</v>
      </c>
      <c r="Z43" s="53">
        <f>'List of Courses'!I63</f>
        <v>1</v>
      </c>
      <c r="AA43" s="53">
        <f>'List of Courses'!J63</f>
        <v>4</v>
      </c>
      <c r="AB43" s="53" t="str">
        <f>'List of Courses'!K63</f>
        <v>CVL341</v>
      </c>
      <c r="AC43" s="53">
        <f>'List of Courses'!L63</f>
        <v>0</v>
      </c>
      <c r="AD43" s="53">
        <f>'List of Courses'!M63</f>
        <v>0</v>
      </c>
      <c r="AE43" s="53">
        <f>'List of Courses'!N63</f>
        <v>0</v>
      </c>
      <c r="AF43" s="53">
        <f>'List of Courses'!O63</f>
        <v>1</v>
      </c>
      <c r="AG43" s="53">
        <f>'List of Courses'!P63</f>
        <v>0</v>
      </c>
      <c r="AH43" s="53">
        <f>'List of Courses'!Q63</f>
        <v>0</v>
      </c>
    </row>
    <row r="44" spans="1:34" x14ac:dyDescent="0.3">
      <c r="A44" s="292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294"/>
      <c r="S44" s="53" t="str">
        <f>'List of Courses'!B64</f>
        <v>CVL451</v>
      </c>
      <c r="T44" s="53" t="str">
        <f>'List of Courses'!C64</f>
        <v xml:space="preserve">Introduction to Transportation &amp; Highway Engineering </v>
      </c>
      <c r="U44" s="53">
        <f>'List of Courses'!D64</f>
        <v>3</v>
      </c>
      <c r="V44" s="53">
        <f>'List of Courses'!E64</f>
        <v>5</v>
      </c>
      <c r="W44" s="53">
        <f>'List of Courses'!F64</f>
        <v>125</v>
      </c>
      <c r="X44" s="53">
        <f>'List of Courses'!G64</f>
        <v>2</v>
      </c>
      <c r="Y44" s="53">
        <f>'List of Courses'!H64</f>
        <v>1</v>
      </c>
      <c r="Z44" s="53">
        <f>'List of Courses'!I64</f>
        <v>1</v>
      </c>
      <c r="AA44" s="53">
        <f>'List of Courses'!J64</f>
        <v>4</v>
      </c>
      <c r="AB44" s="53" t="str">
        <f>'List of Courses'!K64</f>
        <v>--</v>
      </c>
      <c r="AC44" s="53">
        <f>'List of Courses'!L64</f>
        <v>0</v>
      </c>
      <c r="AD44" s="53">
        <f>'List of Courses'!M64</f>
        <v>0</v>
      </c>
      <c r="AE44" s="53">
        <f>'List of Courses'!N64</f>
        <v>0</v>
      </c>
      <c r="AF44" s="53">
        <f>'List of Courses'!O64</f>
        <v>1</v>
      </c>
      <c r="AG44" s="53">
        <f>'List of Courses'!P64</f>
        <v>0</v>
      </c>
      <c r="AH44" s="53">
        <f>'List of Courses'!Q64</f>
        <v>0</v>
      </c>
    </row>
    <row r="45" spans="1:34" x14ac:dyDescent="0.3">
      <c r="A45" s="292"/>
      <c r="B45" s="3"/>
      <c r="C45" s="75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295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</row>
    <row r="46" spans="1:34" x14ac:dyDescent="0.3">
      <c r="D46" s="41">
        <f>SUM(D38:D45)</f>
        <v>18</v>
      </c>
      <c r="E46" s="41">
        <f t="shared" ref="E46:I46" si="6">SUM(E38:E45)</f>
        <v>30</v>
      </c>
      <c r="F46" s="41">
        <f t="shared" si="6"/>
        <v>750</v>
      </c>
      <c r="G46" s="41">
        <f t="shared" si="6"/>
        <v>12</v>
      </c>
      <c r="H46" s="41">
        <f t="shared" si="6"/>
        <v>10</v>
      </c>
      <c r="I46" s="41">
        <f t="shared" si="6"/>
        <v>2</v>
      </c>
      <c r="J46" s="41">
        <f>SUM(J38:J45)</f>
        <v>24</v>
      </c>
      <c r="L46" s="1"/>
      <c r="M46" s="1"/>
      <c r="N46" s="1"/>
      <c r="O46" s="1"/>
      <c r="P46" s="1"/>
      <c r="Q46" s="1"/>
      <c r="U46" s="41">
        <f t="shared" ref="U46:AA46" si="7">SUM(U38:U45)</f>
        <v>18</v>
      </c>
      <c r="V46" s="41">
        <f t="shared" si="7"/>
        <v>30</v>
      </c>
      <c r="W46" s="41">
        <f t="shared" si="7"/>
        <v>750</v>
      </c>
      <c r="X46" s="92">
        <f t="shared" si="7"/>
        <v>12</v>
      </c>
      <c r="Y46" s="92">
        <f t="shared" si="7"/>
        <v>9</v>
      </c>
      <c r="Z46" s="92">
        <f t="shared" si="7"/>
        <v>3</v>
      </c>
      <c r="AA46" s="41">
        <f t="shared" si="7"/>
        <v>24</v>
      </c>
      <c r="AC46" s="1"/>
      <c r="AD46" s="1"/>
      <c r="AE46" s="1"/>
      <c r="AF46" s="1"/>
      <c r="AG46" s="1"/>
    </row>
    <row r="48" spans="1:34" ht="14.4" customHeight="1" x14ac:dyDescent="0.3">
      <c r="A48" s="292" t="s">
        <v>61</v>
      </c>
      <c r="B48" s="290" t="s">
        <v>17</v>
      </c>
      <c r="C48" s="290" t="s">
        <v>18</v>
      </c>
      <c r="D48" s="290" t="s">
        <v>1</v>
      </c>
      <c r="E48" s="290"/>
      <c r="F48" s="290"/>
      <c r="G48" s="290" t="s">
        <v>2</v>
      </c>
      <c r="H48" s="290"/>
      <c r="I48" s="290"/>
      <c r="J48" s="290"/>
      <c r="K48" s="288" t="s">
        <v>19</v>
      </c>
      <c r="L48" s="288" t="s">
        <v>20</v>
      </c>
      <c r="M48" s="288" t="s">
        <v>21</v>
      </c>
      <c r="N48" s="289" t="s">
        <v>111</v>
      </c>
      <c r="O48" s="288" t="s">
        <v>22</v>
      </c>
      <c r="P48" s="288" t="s">
        <v>98</v>
      </c>
      <c r="Q48" s="288" t="s">
        <v>89</v>
      </c>
      <c r="R48" s="293" t="s">
        <v>62</v>
      </c>
      <c r="S48" s="290" t="s">
        <v>17</v>
      </c>
      <c r="T48" s="290" t="s">
        <v>18</v>
      </c>
      <c r="U48" s="290" t="s">
        <v>1</v>
      </c>
      <c r="V48" s="290"/>
      <c r="W48" s="290"/>
      <c r="X48" s="290" t="s">
        <v>2</v>
      </c>
      <c r="Y48" s="290"/>
      <c r="Z48" s="290"/>
      <c r="AA48" s="290"/>
      <c r="AB48" s="288" t="s">
        <v>19</v>
      </c>
      <c r="AC48" s="288" t="s">
        <v>20</v>
      </c>
      <c r="AD48" s="288" t="s">
        <v>21</v>
      </c>
      <c r="AE48" s="289" t="s">
        <v>111</v>
      </c>
      <c r="AF48" s="288" t="s">
        <v>22</v>
      </c>
      <c r="AG48" s="288" t="s">
        <v>98</v>
      </c>
      <c r="AH48" s="288" t="s">
        <v>89</v>
      </c>
    </row>
    <row r="49" spans="1:34" x14ac:dyDescent="0.3">
      <c r="A49" s="292"/>
      <c r="B49" s="290"/>
      <c r="C49" s="290"/>
      <c r="D49" s="16" t="s">
        <v>3</v>
      </c>
      <c r="E49" s="16" t="s">
        <v>4</v>
      </c>
      <c r="F49" s="16" t="s">
        <v>5</v>
      </c>
      <c r="G49" s="16" t="s">
        <v>6</v>
      </c>
      <c r="H49" s="16" t="s">
        <v>7</v>
      </c>
      <c r="I49" s="16" t="s">
        <v>8</v>
      </c>
      <c r="J49" s="16" t="s">
        <v>9</v>
      </c>
      <c r="K49" s="288"/>
      <c r="L49" s="288"/>
      <c r="M49" s="288"/>
      <c r="N49" s="289"/>
      <c r="O49" s="288"/>
      <c r="P49" s="288"/>
      <c r="Q49" s="288"/>
      <c r="R49" s="294"/>
      <c r="S49" s="290"/>
      <c r="T49" s="290"/>
      <c r="U49" s="16" t="s">
        <v>3</v>
      </c>
      <c r="V49" s="16" t="s">
        <v>4</v>
      </c>
      <c r="W49" s="16" t="s">
        <v>5</v>
      </c>
      <c r="X49" s="16" t="s">
        <v>6</v>
      </c>
      <c r="Y49" s="16" t="s">
        <v>7</v>
      </c>
      <c r="Z49" s="16" t="s">
        <v>8</v>
      </c>
      <c r="AA49" s="16" t="s">
        <v>9</v>
      </c>
      <c r="AB49" s="288"/>
      <c r="AC49" s="288"/>
      <c r="AD49" s="288"/>
      <c r="AE49" s="289"/>
      <c r="AF49" s="288"/>
      <c r="AG49" s="288"/>
      <c r="AH49" s="288"/>
    </row>
    <row r="50" spans="1:34" ht="14.4" customHeight="1" x14ac:dyDescent="0.3">
      <c r="A50" s="292"/>
      <c r="B50" s="53" t="str">
        <f>'List of Courses'!B15</f>
        <v>MTH216</v>
      </c>
      <c r="C50" s="53" t="str">
        <f>'List of Courses'!C15</f>
        <v>Numerical Methods</v>
      </c>
      <c r="D50" s="53">
        <f>'List of Courses'!D15</f>
        <v>3</v>
      </c>
      <c r="E50" s="53">
        <f>'List of Courses'!E15</f>
        <v>5</v>
      </c>
      <c r="F50" s="53">
        <f>'List of Courses'!F15</f>
        <v>125</v>
      </c>
      <c r="G50" s="53">
        <f>'List of Courses'!G15</f>
        <v>2</v>
      </c>
      <c r="H50" s="53">
        <f>'List of Courses'!H15</f>
        <v>2</v>
      </c>
      <c r="I50" s="53">
        <f>'List of Courses'!I15</f>
        <v>0</v>
      </c>
      <c r="J50" s="53">
        <f>'List of Courses'!J15</f>
        <v>4</v>
      </c>
      <c r="K50" s="53" t="str">
        <f>'List of Courses'!K15</f>
        <v>MTH214 &amp; MTH215</v>
      </c>
      <c r="L50" s="53">
        <f>'List of Courses'!L15</f>
        <v>0</v>
      </c>
      <c r="M50" s="53">
        <f>'List of Courses'!M15</f>
        <v>0</v>
      </c>
      <c r="N50" s="4">
        <f>'List of Courses'!N15</f>
        <v>1</v>
      </c>
      <c r="O50" s="53">
        <f>'List of Courses'!O15</f>
        <v>1</v>
      </c>
      <c r="P50" s="53">
        <f>'List of Courses'!P15</f>
        <v>0</v>
      </c>
      <c r="Q50" s="53">
        <f>'List of Courses'!Q15</f>
        <v>0</v>
      </c>
      <c r="R50" s="294"/>
      <c r="S50" s="56" t="str">
        <f>'List of Courses'!B73</f>
        <v>CVL E2</v>
      </c>
      <c r="T50" s="56" t="str">
        <f>'List of Courses'!C73</f>
        <v>Major Elective (2)</v>
      </c>
      <c r="U50" s="56">
        <f>'List of Courses'!D73</f>
        <v>3</v>
      </c>
      <c r="V50" s="56">
        <f>'List of Courses'!E73</f>
        <v>5</v>
      </c>
      <c r="W50" s="56">
        <f>'List of Courses'!F73</f>
        <v>125</v>
      </c>
      <c r="X50" s="56">
        <f>'List of Courses'!G73</f>
        <v>2</v>
      </c>
      <c r="Y50" s="56">
        <f>'List of Courses'!H73</f>
        <v>1</v>
      </c>
      <c r="Z50" s="56">
        <f>'List of Courses'!I73</f>
        <v>1</v>
      </c>
      <c r="AA50" s="56">
        <f>'List of Courses'!J73</f>
        <v>4</v>
      </c>
      <c r="AB50" s="56" t="str">
        <f>'List of Courses'!K73</f>
        <v>List</v>
      </c>
      <c r="AC50" s="56">
        <f>'List of Courses'!L73</f>
        <v>0</v>
      </c>
      <c r="AD50" s="56">
        <f>'List of Courses'!M73</f>
        <v>0</v>
      </c>
      <c r="AE50" s="56">
        <f>'List of Courses'!N73</f>
        <v>0</v>
      </c>
      <c r="AF50" s="56">
        <f>'List of Courses'!O73</f>
        <v>0</v>
      </c>
      <c r="AG50" s="56">
        <f>'List of Courses'!P73</f>
        <v>1</v>
      </c>
      <c r="AH50" s="57">
        <f>'List of Courses'!Q73</f>
        <v>1</v>
      </c>
    </row>
    <row r="51" spans="1:34" x14ac:dyDescent="0.3">
      <c r="A51" s="292"/>
      <c r="B51" s="56" t="str">
        <f>'List of Courses'!B53</f>
        <v>CVL413</v>
      </c>
      <c r="C51" s="56" t="str">
        <f>'List of Courses'!C53</f>
        <v>Repair and Strengthening of Buildings</v>
      </c>
      <c r="D51" s="56">
        <f>'List of Courses'!D53</f>
        <v>3</v>
      </c>
      <c r="E51" s="56">
        <f>'List of Courses'!E53</f>
        <v>5</v>
      </c>
      <c r="F51" s="56">
        <f>'List of Courses'!F53</f>
        <v>125</v>
      </c>
      <c r="G51" s="56">
        <f>'List of Courses'!G53</f>
        <v>2</v>
      </c>
      <c r="H51" s="56">
        <f>'List of Courses'!H53</f>
        <v>2</v>
      </c>
      <c r="I51" s="56">
        <f>'List of Courses'!I53</f>
        <v>0</v>
      </c>
      <c r="J51" s="56">
        <f>'List of Courses'!J53</f>
        <v>4</v>
      </c>
      <c r="K51" s="56" t="str">
        <f>'List of Courses'!K53</f>
        <v>CVL411</v>
      </c>
      <c r="L51" s="56">
        <f>'List of Courses'!L53</f>
        <v>0</v>
      </c>
      <c r="M51" s="56">
        <f>'List of Courses'!M53</f>
        <v>0</v>
      </c>
      <c r="N51" s="56">
        <f>'List of Courses'!N53</f>
        <v>0</v>
      </c>
      <c r="O51" s="56">
        <f>'List of Courses'!O53</f>
        <v>0</v>
      </c>
      <c r="P51" s="56">
        <f>'List of Courses'!P53</f>
        <v>1</v>
      </c>
      <c r="Q51" s="56">
        <f>'List of Courses'!Q53</f>
        <v>0</v>
      </c>
      <c r="R51" s="294"/>
      <c r="S51" s="56" t="str">
        <f>'List of Courses'!B74</f>
        <v>CVL E3</v>
      </c>
      <c r="T51" s="56" t="str">
        <f>'List of Courses'!C74</f>
        <v>Major Elective (3)</v>
      </c>
      <c r="U51" s="56">
        <f>'List of Courses'!D74</f>
        <v>3</v>
      </c>
      <c r="V51" s="56">
        <f>'List of Courses'!E74</f>
        <v>5</v>
      </c>
      <c r="W51" s="56">
        <f>'List of Courses'!F74</f>
        <v>125</v>
      </c>
      <c r="X51" s="56">
        <f>'List of Courses'!G74</f>
        <v>2</v>
      </c>
      <c r="Y51" s="56">
        <f>'List of Courses'!H74</f>
        <v>1</v>
      </c>
      <c r="Z51" s="56">
        <f>'List of Courses'!I74</f>
        <v>1</v>
      </c>
      <c r="AA51" s="56">
        <f>'List of Courses'!J74</f>
        <v>4</v>
      </c>
      <c r="AB51" s="56" t="str">
        <f>'List of Courses'!K74</f>
        <v>List</v>
      </c>
      <c r="AC51" s="56">
        <f>'List of Courses'!L74</f>
        <v>0</v>
      </c>
      <c r="AD51" s="56">
        <f>'List of Courses'!M74</f>
        <v>0</v>
      </c>
      <c r="AE51" s="56">
        <f>'List of Courses'!N74</f>
        <v>0</v>
      </c>
      <c r="AF51" s="56">
        <f>'List of Courses'!O74</f>
        <v>0</v>
      </c>
      <c r="AG51" s="56">
        <f>'List of Courses'!P74</f>
        <v>1</v>
      </c>
      <c r="AH51" s="57">
        <f>'List of Courses'!Q74</f>
        <v>1</v>
      </c>
    </row>
    <row r="52" spans="1:34" x14ac:dyDescent="0.3">
      <c r="A52" s="292"/>
      <c r="B52" s="56" t="str">
        <f>'List of Courses'!B54</f>
        <v>CVL421</v>
      </c>
      <c r="C52" s="56" t="str">
        <f>'List of Courses'!C54</f>
        <v xml:space="preserve">Smart Buildings and Materials </v>
      </c>
      <c r="D52" s="56">
        <f>'List of Courses'!D54</f>
        <v>3</v>
      </c>
      <c r="E52" s="56">
        <f>'List of Courses'!E54</f>
        <v>5</v>
      </c>
      <c r="F52" s="56">
        <f>'List of Courses'!F54</f>
        <v>125</v>
      </c>
      <c r="G52" s="56">
        <f>'List of Courses'!G54</f>
        <v>2</v>
      </c>
      <c r="H52" s="56">
        <f>'List of Courses'!H54</f>
        <v>2</v>
      </c>
      <c r="I52" s="56">
        <f>'List of Courses'!I54</f>
        <v>0</v>
      </c>
      <c r="J52" s="56">
        <f>'List of Courses'!J54</f>
        <v>4</v>
      </c>
      <c r="K52" s="56" t="str">
        <f>'List of Courses'!K54</f>
        <v>CVL321</v>
      </c>
      <c r="L52" s="56">
        <f>'List of Courses'!L54</f>
        <v>0</v>
      </c>
      <c r="M52" s="56">
        <f>'List of Courses'!M54</f>
        <v>0</v>
      </c>
      <c r="N52" s="56">
        <f>'List of Courses'!N54</f>
        <v>0</v>
      </c>
      <c r="O52" s="56">
        <f>'List of Courses'!O54</f>
        <v>0</v>
      </c>
      <c r="P52" s="56">
        <f>'List of Courses'!P54</f>
        <v>1</v>
      </c>
      <c r="Q52" s="56">
        <f>'List of Courses'!Q54</f>
        <v>0</v>
      </c>
      <c r="R52" s="294"/>
      <c r="S52" s="56" t="str">
        <f>'List of Courses'!B75</f>
        <v>CVL E4</v>
      </c>
      <c r="T52" s="56" t="str">
        <f>'List of Courses'!C75</f>
        <v>Major Elective (4)</v>
      </c>
      <c r="U52" s="56">
        <f>'List of Courses'!D75</f>
        <v>3</v>
      </c>
      <c r="V52" s="56">
        <f>'List of Courses'!E75</f>
        <v>5</v>
      </c>
      <c r="W52" s="56">
        <f>'List of Courses'!F75</f>
        <v>125</v>
      </c>
      <c r="X52" s="56">
        <f>'List of Courses'!G75</f>
        <v>2</v>
      </c>
      <c r="Y52" s="56">
        <f>'List of Courses'!H75</f>
        <v>1</v>
      </c>
      <c r="Z52" s="56">
        <f>'List of Courses'!I75</f>
        <v>1</v>
      </c>
      <c r="AA52" s="56">
        <f>'List of Courses'!J75</f>
        <v>4</v>
      </c>
      <c r="AB52" s="56" t="str">
        <f>'List of Courses'!K75</f>
        <v>List</v>
      </c>
      <c r="AC52" s="56">
        <f>'List of Courses'!L75</f>
        <v>0</v>
      </c>
      <c r="AD52" s="56">
        <f>'List of Courses'!M75</f>
        <v>0</v>
      </c>
      <c r="AE52" s="56">
        <f>'List of Courses'!N75</f>
        <v>0</v>
      </c>
      <c r="AF52" s="56">
        <f>'List of Courses'!O75</f>
        <v>0</v>
      </c>
      <c r="AG52" s="56">
        <f>'List of Courses'!P75</f>
        <v>1</v>
      </c>
      <c r="AH52" s="57">
        <f>'List of Courses'!Q75</f>
        <v>1</v>
      </c>
    </row>
    <row r="53" spans="1:34" x14ac:dyDescent="0.3">
      <c r="A53" s="292"/>
      <c r="B53" s="56" t="str">
        <f>'List of Courses'!B71</f>
        <v>MTH E</v>
      </c>
      <c r="C53" s="56" t="str">
        <f>'List of Courses'!C71</f>
        <v>Major Math Elective</v>
      </c>
      <c r="D53" s="56">
        <f>'List of Courses'!D71</f>
        <v>3</v>
      </c>
      <c r="E53" s="56">
        <f>'List of Courses'!E71</f>
        <v>5</v>
      </c>
      <c r="F53" s="56">
        <f>'List of Courses'!F71</f>
        <v>125</v>
      </c>
      <c r="G53" s="56">
        <f>'List of Courses'!G71</f>
        <v>2</v>
      </c>
      <c r="H53" s="56">
        <f>'List of Courses'!H71</f>
        <v>2</v>
      </c>
      <c r="I53" s="56">
        <f>'List of Courses'!I71</f>
        <v>0</v>
      </c>
      <c r="J53" s="56">
        <f>'List of Courses'!J71</f>
        <v>4</v>
      </c>
      <c r="K53" s="56" t="str">
        <f>'List of Courses'!K71</f>
        <v>List</v>
      </c>
      <c r="L53" s="56">
        <f>'List of Courses'!L71</f>
        <v>0</v>
      </c>
      <c r="M53" s="56">
        <f>'List of Courses'!M71</f>
        <v>0</v>
      </c>
      <c r="N53" s="56">
        <f>'List of Courses'!N71</f>
        <v>0</v>
      </c>
      <c r="O53" s="56">
        <f>'List of Courses'!O71</f>
        <v>0</v>
      </c>
      <c r="P53" s="56">
        <f>'List of Courses'!P71</f>
        <v>1</v>
      </c>
      <c r="Q53" s="57">
        <f>'List of Courses'!Q71</f>
        <v>1</v>
      </c>
      <c r="R53" s="294"/>
      <c r="S53" s="34" t="str">
        <f>'List of Courses'!B27</f>
        <v>INT E2</v>
      </c>
      <c r="T53" s="34" t="str">
        <f>'List of Courses'!C27</f>
        <v>Sustainable Development Electives</v>
      </c>
      <c r="U53" s="34">
        <f>'List of Courses'!D27</f>
        <v>3</v>
      </c>
      <c r="V53" s="34">
        <f>'List of Courses'!E27</f>
        <v>5</v>
      </c>
      <c r="W53" s="34">
        <f>'List of Courses'!F27</f>
        <v>125</v>
      </c>
      <c r="X53" s="34">
        <f>'List of Courses'!G27</f>
        <v>2</v>
      </c>
      <c r="Y53" s="34">
        <f>'List of Courses'!H27</f>
        <v>2</v>
      </c>
      <c r="Z53" s="34">
        <f>'List of Courses'!I27</f>
        <v>0</v>
      </c>
      <c r="AA53" s="34">
        <f>'List of Courses'!J27</f>
        <v>4</v>
      </c>
      <c r="AB53" s="34" t="str">
        <f>'List of Courses'!K27</f>
        <v>--</v>
      </c>
      <c r="AC53" s="34">
        <f>'List of Courses'!L27</f>
        <v>0</v>
      </c>
      <c r="AD53" s="34">
        <f>'List of Courses'!M27</f>
        <v>1</v>
      </c>
      <c r="AE53" s="34">
        <f>'List of Courses'!N27</f>
        <v>0</v>
      </c>
      <c r="AF53" s="34">
        <f>'List of Courses'!O27</f>
        <v>0</v>
      </c>
      <c r="AG53" s="34">
        <f>'List of Courses'!P27</f>
        <v>0</v>
      </c>
      <c r="AH53" s="57">
        <f>'List of Courses'!Q71</f>
        <v>1</v>
      </c>
    </row>
    <row r="54" spans="1:34" x14ac:dyDescent="0.3">
      <c r="A54" s="292"/>
      <c r="B54" s="56" t="str">
        <f>'List of Courses'!B72</f>
        <v>CVL E1</v>
      </c>
      <c r="C54" s="56" t="str">
        <f>'List of Courses'!C72</f>
        <v>Major Elective (1)</v>
      </c>
      <c r="D54" s="56">
        <f>'List of Courses'!D72</f>
        <v>3</v>
      </c>
      <c r="E54" s="56">
        <f>'List of Courses'!E72</f>
        <v>5</v>
      </c>
      <c r="F54" s="56">
        <f>'List of Courses'!F72</f>
        <v>125</v>
      </c>
      <c r="G54" s="56">
        <f>'List of Courses'!G72</f>
        <v>2</v>
      </c>
      <c r="H54" s="56">
        <f>'List of Courses'!H72</f>
        <v>1</v>
      </c>
      <c r="I54" s="56">
        <f>'List of Courses'!I72</f>
        <v>1</v>
      </c>
      <c r="J54" s="56">
        <f>'List of Courses'!J72</f>
        <v>4</v>
      </c>
      <c r="K54" s="56" t="str">
        <f>'List of Courses'!K72</f>
        <v>List</v>
      </c>
      <c r="L54" s="56">
        <f>'List of Courses'!L72</f>
        <v>0</v>
      </c>
      <c r="M54" s="56">
        <f>'List of Courses'!M72</f>
        <v>0</v>
      </c>
      <c r="N54" s="56">
        <f>'List of Courses'!N72</f>
        <v>0</v>
      </c>
      <c r="O54" s="56">
        <f>'List of Courses'!O72</f>
        <v>0</v>
      </c>
      <c r="P54" s="56">
        <f>'List of Courses'!P72</f>
        <v>1</v>
      </c>
      <c r="Q54" s="57">
        <f>'List of Courses'!Q72</f>
        <v>1</v>
      </c>
      <c r="R54" s="294"/>
      <c r="S54" s="34" t="str">
        <f>'List of Courses'!B28</f>
        <v>EBS111</v>
      </c>
      <c r="T54" s="34" t="str">
        <f>'List of Courses'!C28</f>
        <v xml:space="preserve">Selected Topics in Entrepreneurship </v>
      </c>
      <c r="U54" s="34">
        <f>'List of Courses'!D28</f>
        <v>3</v>
      </c>
      <c r="V54" s="34">
        <f>'List of Courses'!E28</f>
        <v>5</v>
      </c>
      <c r="W54" s="34">
        <f>'List of Courses'!F28</f>
        <v>125</v>
      </c>
      <c r="X54" s="34">
        <f>'List of Courses'!G28</f>
        <v>2</v>
      </c>
      <c r="Y54" s="34">
        <f>'List of Courses'!H28</f>
        <v>2</v>
      </c>
      <c r="Z54" s="34">
        <f>'List of Courses'!I28</f>
        <v>0</v>
      </c>
      <c r="AA54" s="34">
        <f>'List of Courses'!J28</f>
        <v>4</v>
      </c>
      <c r="AB54" s="34" t="str">
        <f>'List of Courses'!K28</f>
        <v>--</v>
      </c>
      <c r="AC54" s="34">
        <f>'List of Courses'!L28</f>
        <v>0</v>
      </c>
      <c r="AD54" s="34">
        <f>'List of Courses'!M28</f>
        <v>1</v>
      </c>
      <c r="AE54" s="34">
        <f>'List of Courses'!N28</f>
        <v>0</v>
      </c>
      <c r="AF54" s="34">
        <f>'List of Courses'!O28</f>
        <v>0</v>
      </c>
      <c r="AG54" s="34">
        <f>'List of Courses'!P28</f>
        <v>0</v>
      </c>
      <c r="AH54" s="3">
        <f>'List of Courses'!Q28</f>
        <v>0</v>
      </c>
    </row>
    <row r="55" spans="1:34" x14ac:dyDescent="0.3">
      <c r="A55" s="292"/>
      <c r="B55" s="53" t="str">
        <f>'List of Courses'!B68</f>
        <v>CVL493</v>
      </c>
      <c r="C55" s="53" t="str">
        <f>'List of Courses'!C68</f>
        <v>Graduation Project I</v>
      </c>
      <c r="D55" s="53">
        <f>'List of Courses'!D68</f>
        <v>3</v>
      </c>
      <c r="E55" s="53">
        <f>'List of Courses'!E68</f>
        <v>5</v>
      </c>
      <c r="F55" s="53">
        <f>'List of Courses'!F68</f>
        <v>125</v>
      </c>
      <c r="G55" s="53">
        <f>'List of Courses'!G68</f>
        <v>1</v>
      </c>
      <c r="H55" s="53">
        <f>'List of Courses'!H68</f>
        <v>0</v>
      </c>
      <c r="I55" s="53">
        <f>'List of Courses'!I68</f>
        <v>4</v>
      </c>
      <c r="J55" s="53">
        <f>'List of Courses'!J68</f>
        <v>5</v>
      </c>
      <c r="K55" s="53" t="str">
        <f>'List of Courses'!K68</f>
        <v>--</v>
      </c>
      <c r="L55" s="53">
        <f>'List of Courses'!L68</f>
        <v>0</v>
      </c>
      <c r="M55" s="53">
        <f>'List of Courses'!M68</f>
        <v>0</v>
      </c>
      <c r="N55" s="53">
        <f>'List of Courses'!N68</f>
        <v>0</v>
      </c>
      <c r="O55" s="53">
        <f>'List of Courses'!O68</f>
        <v>1</v>
      </c>
      <c r="P55" s="53">
        <f>'List of Courses'!P68</f>
        <v>0</v>
      </c>
      <c r="Q55" s="53">
        <f>'List of Courses'!Q68</f>
        <v>0</v>
      </c>
      <c r="R55" s="294"/>
      <c r="S55" s="53" t="str">
        <f>'List of Courses'!B69</f>
        <v>CVL494</v>
      </c>
      <c r="T55" s="53" t="str">
        <f>'List of Courses'!C69</f>
        <v>Graduation Project II</v>
      </c>
      <c r="U55" s="53">
        <f>'List of Courses'!D69</f>
        <v>3</v>
      </c>
      <c r="V55" s="53">
        <f>'List of Courses'!E69</f>
        <v>5</v>
      </c>
      <c r="W55" s="53">
        <f>'List of Courses'!F69</f>
        <v>125</v>
      </c>
      <c r="X55" s="53">
        <f>'List of Courses'!G69</f>
        <v>1</v>
      </c>
      <c r="Y55" s="53">
        <f>'List of Courses'!H69</f>
        <v>0</v>
      </c>
      <c r="Z55" s="53">
        <f>'List of Courses'!I69</f>
        <v>4</v>
      </c>
      <c r="AA55" s="53">
        <f>'List of Courses'!J69</f>
        <v>5</v>
      </c>
      <c r="AB55" s="53" t="str">
        <f>'List of Courses'!K69</f>
        <v>CVL493 (CO)</v>
      </c>
      <c r="AC55" s="53">
        <f>'List of Courses'!L69</f>
        <v>0</v>
      </c>
      <c r="AD55" s="53">
        <f>'List of Courses'!M69</f>
        <v>0</v>
      </c>
      <c r="AE55" s="53">
        <f>'List of Courses'!N69</f>
        <v>0</v>
      </c>
      <c r="AF55" s="53">
        <f>'List of Courses'!O69</f>
        <v>1</v>
      </c>
      <c r="AG55" s="53">
        <f>'List of Courses'!P69</f>
        <v>0</v>
      </c>
      <c r="AH55" s="53">
        <f>'List of Courses'!Q69</f>
        <v>0</v>
      </c>
    </row>
    <row r="56" spans="1:34" x14ac:dyDescent="0.3">
      <c r="A56" s="292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295"/>
      <c r="S56" s="3"/>
      <c r="T56" s="3"/>
      <c r="U56" s="5"/>
      <c r="V56" s="5"/>
      <c r="W56" s="5"/>
      <c r="X56" s="5"/>
      <c r="Y56" s="5"/>
      <c r="Z56" s="5"/>
      <c r="AA56" s="5"/>
      <c r="AB56" s="3"/>
      <c r="AC56" s="5"/>
      <c r="AD56" s="5"/>
      <c r="AE56" s="5"/>
      <c r="AF56" s="5"/>
      <c r="AG56" s="5"/>
      <c r="AH56" s="5"/>
    </row>
    <row r="57" spans="1:34" x14ac:dyDescent="0.3">
      <c r="D57" s="41">
        <f>SUM(D50:D56)</f>
        <v>18</v>
      </c>
      <c r="E57" s="41">
        <f t="shared" ref="E57:J57" si="8">SUM(E50:E56)</f>
        <v>30</v>
      </c>
      <c r="F57" s="41">
        <f>SUM(F50:F56)</f>
        <v>750</v>
      </c>
      <c r="G57" s="41">
        <f t="shared" si="8"/>
        <v>11</v>
      </c>
      <c r="H57" s="41">
        <f t="shared" si="8"/>
        <v>9</v>
      </c>
      <c r="I57" s="41">
        <f t="shared" si="8"/>
        <v>5</v>
      </c>
      <c r="J57" s="41">
        <f t="shared" si="8"/>
        <v>25</v>
      </c>
      <c r="L57" s="1"/>
      <c r="M57" s="1"/>
      <c r="N57" s="1"/>
      <c r="O57" s="1"/>
      <c r="P57" s="1"/>
      <c r="Q57" s="1"/>
      <c r="U57" s="41">
        <f>SUM(U50:U56)</f>
        <v>18</v>
      </c>
      <c r="V57" s="41">
        <f t="shared" ref="V57:AA57" si="9">SUM(V50:V56)</f>
        <v>30</v>
      </c>
      <c r="W57" s="41">
        <f t="shared" si="9"/>
        <v>750</v>
      </c>
      <c r="X57" s="41">
        <f t="shared" si="9"/>
        <v>11</v>
      </c>
      <c r="Y57" s="41">
        <f t="shared" si="9"/>
        <v>7</v>
      </c>
      <c r="Z57" s="41">
        <f t="shared" si="9"/>
        <v>7</v>
      </c>
      <c r="AA57" s="41">
        <f t="shared" si="9"/>
        <v>25</v>
      </c>
    </row>
    <row r="58" spans="1:34" x14ac:dyDescent="0.3">
      <c r="D58" s="18"/>
      <c r="L58" s="1"/>
      <c r="M58" s="1"/>
      <c r="N58" s="1"/>
      <c r="O58" s="1"/>
      <c r="P58" s="1"/>
      <c r="Q58" s="1"/>
    </row>
    <row r="59" spans="1:34" ht="14.4" customHeight="1" x14ac:dyDescent="0.3">
      <c r="R59" s="291" t="s">
        <v>401</v>
      </c>
      <c r="S59" s="290" t="s">
        <v>17</v>
      </c>
      <c r="T59" s="290" t="s">
        <v>18</v>
      </c>
      <c r="U59" s="290" t="s">
        <v>1</v>
      </c>
      <c r="V59" s="290"/>
      <c r="W59" s="290"/>
      <c r="X59" s="290" t="s">
        <v>2</v>
      </c>
      <c r="Y59" s="290"/>
      <c r="Z59" s="290"/>
      <c r="AA59" s="290"/>
      <c r="AB59" s="288" t="s">
        <v>19</v>
      </c>
      <c r="AC59" s="288" t="s">
        <v>20</v>
      </c>
      <c r="AD59" s="288" t="s">
        <v>21</v>
      </c>
      <c r="AE59" s="289" t="s">
        <v>111</v>
      </c>
      <c r="AF59" s="288" t="s">
        <v>22</v>
      </c>
      <c r="AG59" s="288" t="s">
        <v>98</v>
      </c>
      <c r="AH59" s="28"/>
    </row>
    <row r="60" spans="1:34" x14ac:dyDescent="0.3">
      <c r="R60" s="291"/>
      <c r="S60" s="290"/>
      <c r="T60" s="290"/>
      <c r="U60" s="16" t="s">
        <v>3</v>
      </c>
      <c r="V60" s="16" t="s">
        <v>4</v>
      </c>
      <c r="W60" s="16" t="s">
        <v>5</v>
      </c>
      <c r="X60" s="16" t="s">
        <v>6</v>
      </c>
      <c r="Y60" s="16" t="s">
        <v>7</v>
      </c>
      <c r="Z60" s="16" t="s">
        <v>8</v>
      </c>
      <c r="AA60" s="16" t="s">
        <v>9</v>
      </c>
      <c r="AB60" s="288"/>
      <c r="AC60" s="288"/>
      <c r="AD60" s="288"/>
      <c r="AE60" s="289"/>
      <c r="AF60" s="288"/>
      <c r="AG60" s="288"/>
      <c r="AH60" s="28"/>
    </row>
    <row r="61" spans="1:34" x14ac:dyDescent="0.3">
      <c r="R61" s="291"/>
      <c r="S61" s="57" t="str">
        <f>'List of Courses'!B48</f>
        <v>CVL381</v>
      </c>
      <c r="T61" s="57" t="str">
        <f>'List of Courses'!C48</f>
        <v>Computer Applications in Civil Engineering</v>
      </c>
      <c r="U61" s="57">
        <f>'List of Courses'!D48</f>
        <v>3</v>
      </c>
      <c r="V61" s="57">
        <f>'List of Courses'!E48</f>
        <v>5</v>
      </c>
      <c r="W61" s="57">
        <f>'List of Courses'!F48</f>
        <v>125</v>
      </c>
      <c r="X61" s="57">
        <f>'List of Courses'!G48</f>
        <v>2</v>
      </c>
      <c r="Y61" s="57">
        <f>'List of Courses'!H48</f>
        <v>0</v>
      </c>
      <c r="Z61" s="57">
        <f>'List of Courses'!I48</f>
        <v>2</v>
      </c>
      <c r="AA61" s="57">
        <f>'List of Courses'!J48</f>
        <v>4</v>
      </c>
      <c r="AB61" s="57" t="str">
        <f>'List of Courses'!K48</f>
        <v>--</v>
      </c>
      <c r="AC61" s="57">
        <f>'List of Courses'!L48</f>
        <v>0</v>
      </c>
      <c r="AD61" s="57">
        <f>'List of Courses'!M48</f>
        <v>0</v>
      </c>
      <c r="AE61" s="57">
        <f>'List of Courses'!N48</f>
        <v>0</v>
      </c>
      <c r="AF61" s="57">
        <f>'List of Courses'!O48</f>
        <v>0</v>
      </c>
      <c r="AG61" s="57">
        <f>'List of Courses'!P48</f>
        <v>1</v>
      </c>
      <c r="AH61" s="1"/>
    </row>
    <row r="62" spans="1:34" x14ac:dyDescent="0.3">
      <c r="R62" s="291"/>
      <c r="S62" s="57" t="str">
        <f>'List of Courses'!B44</f>
        <v>CVL333</v>
      </c>
      <c r="T62" s="57" t="str">
        <f>'List of Courses'!C44</f>
        <v>Civil Engineering Economics</v>
      </c>
      <c r="U62" s="57">
        <f>'List of Courses'!D44</f>
        <v>3</v>
      </c>
      <c r="V62" s="57">
        <f>'List of Courses'!E44</f>
        <v>5</v>
      </c>
      <c r="W62" s="57">
        <f>'List of Courses'!F44</f>
        <v>125</v>
      </c>
      <c r="X62" s="57">
        <f>'List of Courses'!G44</f>
        <v>2</v>
      </c>
      <c r="Y62" s="57">
        <f>'List of Courses'!H44</f>
        <v>2</v>
      </c>
      <c r="Z62" s="57">
        <f>'List of Courses'!I44</f>
        <v>0</v>
      </c>
      <c r="AA62" s="57">
        <f>'List of Courses'!J44</f>
        <v>4</v>
      </c>
      <c r="AB62" s="57" t="str">
        <f>'List of Courses'!K44</f>
        <v>--</v>
      </c>
      <c r="AC62" s="57">
        <f>'List of Courses'!L44</f>
        <v>0</v>
      </c>
      <c r="AD62" s="57">
        <f>'List of Courses'!M44</f>
        <v>0</v>
      </c>
      <c r="AE62" s="57">
        <f>'List of Courses'!N44</f>
        <v>0</v>
      </c>
      <c r="AF62" s="57">
        <f>'List of Courses'!O44</f>
        <v>0</v>
      </c>
      <c r="AG62" s="57">
        <f>'List of Courses'!P44</f>
        <v>1</v>
      </c>
      <c r="AH62" s="1"/>
    </row>
    <row r="63" spans="1:34" x14ac:dyDescent="0.3">
      <c r="L63" s="1"/>
      <c r="M63" s="1"/>
      <c r="N63" s="1"/>
      <c r="O63" s="1"/>
      <c r="P63" s="1"/>
      <c r="Q63" s="1"/>
      <c r="R63" s="291"/>
      <c r="S63" s="57" t="str">
        <f>'List of Courses'!B45</f>
        <v>CVL334</v>
      </c>
      <c r="T63" s="57" t="str">
        <f>'List of Courses'!C45</f>
        <v>Construction Planning &amp; Scheduling</v>
      </c>
      <c r="U63" s="57">
        <f>'List of Courses'!D45</f>
        <v>3</v>
      </c>
      <c r="V63" s="57">
        <f>'List of Courses'!E45</f>
        <v>5</v>
      </c>
      <c r="W63" s="57">
        <f>'List of Courses'!F45</f>
        <v>125</v>
      </c>
      <c r="X63" s="57">
        <f>'List of Courses'!G45</f>
        <v>2</v>
      </c>
      <c r="Y63" s="57">
        <f>'List of Courses'!H45</f>
        <v>1</v>
      </c>
      <c r="Z63" s="57">
        <f>'List of Courses'!I45</f>
        <v>1</v>
      </c>
      <c r="AA63" s="57">
        <f>'List of Courses'!J45</f>
        <v>4</v>
      </c>
      <c r="AB63" s="57" t="str">
        <f>'List of Courses'!K45</f>
        <v>--</v>
      </c>
      <c r="AC63" s="57">
        <f>'List of Courses'!L45</f>
        <v>0</v>
      </c>
      <c r="AD63" s="57">
        <f>'List of Courses'!M45</f>
        <v>0</v>
      </c>
      <c r="AE63" s="57">
        <f>'List of Courses'!N45</f>
        <v>0</v>
      </c>
      <c r="AF63" s="57">
        <f>'List of Courses'!O45</f>
        <v>0</v>
      </c>
      <c r="AG63" s="57">
        <f>'List of Courses'!P45</f>
        <v>1</v>
      </c>
      <c r="AH63" s="1"/>
    </row>
    <row r="64" spans="1:34" x14ac:dyDescent="0.3">
      <c r="L64" s="1"/>
      <c r="M64" s="1"/>
      <c r="N64" s="1"/>
      <c r="O64" s="1"/>
      <c r="P64" s="1"/>
      <c r="Q64" s="1"/>
      <c r="R64" s="291"/>
      <c r="S64" s="57" t="str">
        <f>'List of Courses'!B67</f>
        <v>CVL481</v>
      </c>
      <c r="T64" s="57" t="str">
        <f>'List of Courses'!C67</f>
        <v>Advanced Surveying and GIS</v>
      </c>
      <c r="U64" s="57">
        <f>'List of Courses'!D67</f>
        <v>3</v>
      </c>
      <c r="V64" s="57">
        <f>'List of Courses'!E67</f>
        <v>5</v>
      </c>
      <c r="W64" s="57">
        <f>'List of Courses'!F67</f>
        <v>125</v>
      </c>
      <c r="X64" s="57">
        <f>'List of Courses'!G67</f>
        <v>1</v>
      </c>
      <c r="Y64" s="57">
        <f>'List of Courses'!H67</f>
        <v>2</v>
      </c>
      <c r="Z64" s="57">
        <f>'List of Courses'!I67</f>
        <v>2</v>
      </c>
      <c r="AA64" s="57">
        <f>'List of Courses'!J67</f>
        <v>5</v>
      </c>
      <c r="AB64" s="57" t="str">
        <f>'List of Courses'!K67</f>
        <v>CVL281</v>
      </c>
      <c r="AC64" s="57">
        <f>'List of Courses'!L67</f>
        <v>0</v>
      </c>
      <c r="AD64" s="57">
        <f>'List of Courses'!M67</f>
        <v>0</v>
      </c>
      <c r="AE64" s="57">
        <f>'List of Courses'!N67</f>
        <v>0</v>
      </c>
      <c r="AF64" s="57">
        <f>'List of Courses'!O67</f>
        <v>0</v>
      </c>
      <c r="AG64" s="57">
        <f>'List of Courses'!P67</f>
        <v>1</v>
      </c>
      <c r="AH64" s="1"/>
    </row>
    <row r="65" spans="2:34" x14ac:dyDescent="0.3">
      <c r="Q65" s="1"/>
      <c r="R65" s="291"/>
      <c r="S65" s="57" t="str">
        <f>'List of Courses'!B55</f>
        <v>CVL422</v>
      </c>
      <c r="T65" s="57" t="str">
        <f>'List of Courses'!C55</f>
        <v>Quality Control of Smart Materials</v>
      </c>
      <c r="U65" s="57">
        <f>'List of Courses'!D55</f>
        <v>3</v>
      </c>
      <c r="V65" s="57">
        <f>'List of Courses'!E55</f>
        <v>5</v>
      </c>
      <c r="W65" s="57">
        <f>'List of Courses'!F55</f>
        <v>125</v>
      </c>
      <c r="X65" s="57">
        <f>'List of Courses'!G55</f>
        <v>2</v>
      </c>
      <c r="Y65" s="57">
        <f>'List of Courses'!H55</f>
        <v>2</v>
      </c>
      <c r="Z65" s="57">
        <f>'List of Courses'!I55</f>
        <v>0</v>
      </c>
      <c r="AA65" s="57">
        <f>'List of Courses'!J55</f>
        <v>4</v>
      </c>
      <c r="AB65" s="57" t="str">
        <f>'List of Courses'!K55</f>
        <v>--</v>
      </c>
      <c r="AC65" s="57">
        <f>'List of Courses'!L55</f>
        <v>0</v>
      </c>
      <c r="AD65" s="57">
        <f>'List of Courses'!M55</f>
        <v>0</v>
      </c>
      <c r="AE65" s="57">
        <f>'List of Courses'!N55</f>
        <v>0</v>
      </c>
      <c r="AF65" s="57">
        <f>'List of Courses'!O55</f>
        <v>0</v>
      </c>
      <c r="AG65" s="57">
        <f>'List of Courses'!P55</f>
        <v>1</v>
      </c>
      <c r="AH65" s="1"/>
    </row>
    <row r="66" spans="2:34" x14ac:dyDescent="0.3">
      <c r="L66" s="1"/>
      <c r="M66" s="1"/>
      <c r="N66" s="1"/>
      <c r="O66" s="1"/>
      <c r="P66" s="1"/>
      <c r="Q66" s="1"/>
      <c r="R66" s="291"/>
      <c r="S66" s="57" t="str">
        <f>'List of Courses'!B60</f>
        <v>CVL435</v>
      </c>
      <c r="T66" s="57" t="str">
        <f>'List of Courses'!C60</f>
        <v>Real Estate &amp; Urban Planning Development</v>
      </c>
      <c r="U66" s="57">
        <f>'List of Courses'!D60</f>
        <v>3</v>
      </c>
      <c r="V66" s="57">
        <f>'List of Courses'!E60</f>
        <v>5</v>
      </c>
      <c r="W66" s="57">
        <f>'List of Courses'!F60</f>
        <v>125</v>
      </c>
      <c r="X66" s="57">
        <f>'List of Courses'!G60</f>
        <v>2</v>
      </c>
      <c r="Y66" s="57">
        <f>'List of Courses'!H60</f>
        <v>2</v>
      </c>
      <c r="Z66" s="57">
        <f>'List of Courses'!I60</f>
        <v>0</v>
      </c>
      <c r="AA66" s="57">
        <f>'List of Courses'!J60</f>
        <v>4</v>
      </c>
      <c r="AB66" s="57" t="str">
        <f>'List of Courses'!K60</f>
        <v>--</v>
      </c>
      <c r="AC66" s="57">
        <f>'List of Courses'!L60</f>
        <v>0</v>
      </c>
      <c r="AD66" s="57">
        <f>'List of Courses'!M60</f>
        <v>0</v>
      </c>
      <c r="AE66" s="57">
        <f>'List of Courses'!N60</f>
        <v>0</v>
      </c>
      <c r="AF66" s="57">
        <f>'List of Courses'!O60</f>
        <v>0</v>
      </c>
      <c r="AG66" s="57">
        <f>'List of Courses'!P60</f>
        <v>1</v>
      </c>
      <c r="AH66" s="1"/>
    </row>
    <row r="67" spans="2:34" x14ac:dyDescent="0.3">
      <c r="L67" s="1"/>
      <c r="M67" s="1"/>
      <c r="N67" s="1"/>
      <c r="O67" s="1"/>
      <c r="P67" s="1"/>
      <c r="Q67" s="1"/>
      <c r="R67" s="291"/>
      <c r="S67" s="57" t="str">
        <f>'List of Courses'!B62</f>
        <v>CVL437</v>
      </c>
      <c r="T67" s="57" t="str">
        <f>'List of Courses'!C62</f>
        <v>Building Information Modeling</v>
      </c>
      <c r="U67" s="57">
        <f>'List of Courses'!D62</f>
        <v>3</v>
      </c>
      <c r="V67" s="57">
        <f>'List of Courses'!E62</f>
        <v>5</v>
      </c>
      <c r="W67" s="57">
        <f>'List of Courses'!F62</f>
        <v>125</v>
      </c>
      <c r="X67" s="57">
        <f>'List of Courses'!G62</f>
        <v>1</v>
      </c>
      <c r="Y67" s="57">
        <f>'List of Courses'!H62</f>
        <v>2</v>
      </c>
      <c r="Z67" s="57">
        <f>'List of Courses'!I62</f>
        <v>2</v>
      </c>
      <c r="AA67" s="57">
        <f>'List of Courses'!J62</f>
        <v>5</v>
      </c>
      <c r="AB67" s="57" t="str">
        <f>'List of Courses'!K62</f>
        <v>--</v>
      </c>
      <c r="AC67" s="57">
        <f>'List of Courses'!L62</f>
        <v>0</v>
      </c>
      <c r="AD67" s="57">
        <f>'List of Courses'!M62</f>
        <v>0</v>
      </c>
      <c r="AE67" s="57">
        <f>'List of Courses'!N62</f>
        <v>0</v>
      </c>
      <c r="AF67" s="57">
        <f>'List of Courses'!O62</f>
        <v>0</v>
      </c>
      <c r="AG67" s="57">
        <f>'List of Courses'!P62</f>
        <v>1</v>
      </c>
      <c r="AH67" s="1"/>
    </row>
    <row r="68" spans="2:34" x14ac:dyDescent="0.3">
      <c r="Q68" s="1"/>
      <c r="R68" s="291"/>
      <c r="S68" s="57" t="str">
        <f>'List of Courses'!B66</f>
        <v>CVL462</v>
      </c>
      <c r="T68" s="57" t="str">
        <f>'List of Courses'!C66</f>
        <v>GIS in Smart Structures and Systems</v>
      </c>
      <c r="U68" s="57">
        <f>'List of Courses'!D66</f>
        <v>3</v>
      </c>
      <c r="V68" s="57">
        <f>'List of Courses'!E66</f>
        <v>5</v>
      </c>
      <c r="W68" s="57">
        <f>'List of Courses'!F66</f>
        <v>125</v>
      </c>
      <c r="X68" s="57">
        <f>'List of Courses'!G66</f>
        <v>2</v>
      </c>
      <c r="Y68" s="57">
        <f>'List of Courses'!H66</f>
        <v>2</v>
      </c>
      <c r="Z68" s="57">
        <f>'List of Courses'!I66</f>
        <v>0</v>
      </c>
      <c r="AA68" s="57">
        <f>'List of Courses'!J66</f>
        <v>4</v>
      </c>
      <c r="AB68" s="57" t="str">
        <f>'List of Courses'!K66</f>
        <v>--</v>
      </c>
      <c r="AC68" s="57">
        <f>'List of Courses'!L66</f>
        <v>0</v>
      </c>
      <c r="AD68" s="57">
        <f>'List of Courses'!M66</f>
        <v>0</v>
      </c>
      <c r="AE68" s="57">
        <f>'List of Courses'!N66</f>
        <v>0</v>
      </c>
      <c r="AF68" s="57">
        <f>'List of Courses'!O66</f>
        <v>0</v>
      </c>
      <c r="AG68" s="57">
        <f>'List of Courses'!P66</f>
        <v>1</v>
      </c>
      <c r="AH68" s="1"/>
    </row>
    <row r="69" spans="2:34" x14ac:dyDescent="0.3">
      <c r="L69" s="1"/>
      <c r="M69" s="1"/>
      <c r="N69" s="1"/>
      <c r="O69" s="1"/>
      <c r="P69" s="1"/>
      <c r="Q69" s="1"/>
      <c r="R69" s="291"/>
      <c r="S69" s="57" t="str">
        <f>'List of Courses'!B70</f>
        <v>IND252</v>
      </c>
      <c r="T69" s="57" t="str">
        <f>'List of Courses'!C70</f>
        <v>Operation Research I</v>
      </c>
      <c r="U69" s="57">
        <f>'List of Courses'!D70</f>
        <v>3</v>
      </c>
      <c r="V69" s="57">
        <f>'List of Courses'!E70</f>
        <v>5</v>
      </c>
      <c r="W69" s="57">
        <f>'List of Courses'!F70</f>
        <v>125</v>
      </c>
      <c r="X69" s="57">
        <f>'List of Courses'!G70</f>
        <v>2</v>
      </c>
      <c r="Y69" s="57">
        <f>'List of Courses'!H70</f>
        <v>2</v>
      </c>
      <c r="Z69" s="57">
        <f>'List of Courses'!I70</f>
        <v>0</v>
      </c>
      <c r="AA69" s="57">
        <f>'List of Courses'!J70</f>
        <v>4</v>
      </c>
      <c r="AB69" s="57" t="str">
        <f>'List of Courses'!K70</f>
        <v>MTH214</v>
      </c>
      <c r="AC69" s="57">
        <f>'List of Courses'!L70</f>
        <v>0</v>
      </c>
      <c r="AD69" s="57">
        <f>'List of Courses'!M70</f>
        <v>0</v>
      </c>
      <c r="AE69" s="57">
        <f>'List of Courses'!N70</f>
        <v>0</v>
      </c>
      <c r="AF69" s="57">
        <f>'List of Courses'!O70</f>
        <v>0</v>
      </c>
      <c r="AG69" s="57">
        <f>'List of Courses'!P70</f>
        <v>1</v>
      </c>
      <c r="AH69" s="1"/>
    </row>
    <row r="70" spans="2:34" x14ac:dyDescent="0.3">
      <c r="L70" s="1"/>
      <c r="M70" s="1"/>
      <c r="N70" s="1"/>
      <c r="O70" s="1"/>
      <c r="P70" s="1"/>
      <c r="Q70" s="1"/>
      <c r="R70" s="76"/>
      <c r="AH70" s="1"/>
    </row>
    <row r="71" spans="2:34" x14ac:dyDescent="0.3">
      <c r="B71" s="21"/>
      <c r="C71" s="21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U71" s="18"/>
    </row>
    <row r="72" spans="2:34" x14ac:dyDescent="0.3">
      <c r="B72" s="21"/>
      <c r="C72" s="21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301" t="s">
        <v>402</v>
      </c>
      <c r="S72" s="290" t="s">
        <v>17</v>
      </c>
      <c r="T72" s="290" t="s">
        <v>18</v>
      </c>
      <c r="U72" s="290" t="s">
        <v>1</v>
      </c>
      <c r="V72" s="290"/>
      <c r="W72" s="290"/>
      <c r="X72" s="290" t="s">
        <v>2</v>
      </c>
      <c r="Y72" s="290"/>
      <c r="Z72" s="290"/>
      <c r="AA72" s="290"/>
      <c r="AB72" s="288" t="s">
        <v>19</v>
      </c>
      <c r="AC72" s="288" t="s">
        <v>20</v>
      </c>
      <c r="AD72" s="288" t="s">
        <v>21</v>
      </c>
      <c r="AE72" s="289" t="s">
        <v>111</v>
      </c>
      <c r="AF72" s="288" t="s">
        <v>22</v>
      </c>
      <c r="AG72" s="288" t="s">
        <v>98</v>
      </c>
    </row>
    <row r="73" spans="2:34" x14ac:dyDescent="0.3">
      <c r="B73" s="21"/>
      <c r="C73" s="21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302"/>
      <c r="S73" s="290"/>
      <c r="T73" s="290"/>
      <c r="U73" s="16" t="s">
        <v>3</v>
      </c>
      <c r="V73" s="16" t="s">
        <v>4</v>
      </c>
      <c r="W73" s="16" t="s">
        <v>5</v>
      </c>
      <c r="X73" s="16" t="s">
        <v>6</v>
      </c>
      <c r="Y73" s="16" t="s">
        <v>7</v>
      </c>
      <c r="Z73" s="16" t="s">
        <v>8</v>
      </c>
      <c r="AA73" s="16" t="s">
        <v>9</v>
      </c>
      <c r="AB73" s="288"/>
      <c r="AC73" s="288"/>
      <c r="AD73" s="288"/>
      <c r="AE73" s="289"/>
      <c r="AF73" s="288"/>
      <c r="AG73" s="288"/>
    </row>
    <row r="74" spans="2:34" x14ac:dyDescent="0.3">
      <c r="B74" s="21"/>
      <c r="C74" s="21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302"/>
      <c r="S74" s="57" t="str">
        <f>'List of Courses'!B16</f>
        <v>MTH317</v>
      </c>
      <c r="T74" s="111" t="str">
        <f>'List of Courses'!C16</f>
        <v>Introduction to Mathematical Optimization</v>
      </c>
      <c r="U74" s="57">
        <f>'List of Courses'!D16</f>
        <v>3</v>
      </c>
      <c r="V74" s="57">
        <f>'List of Courses'!E16</f>
        <v>5</v>
      </c>
      <c r="W74" s="57">
        <f>'List of Courses'!F16</f>
        <v>125</v>
      </c>
      <c r="X74" s="57">
        <f>'List of Courses'!G16</f>
        <v>2</v>
      </c>
      <c r="Y74" s="57">
        <f>'List of Courses'!H16</f>
        <v>2</v>
      </c>
      <c r="Z74" s="57">
        <f>'List of Courses'!I16</f>
        <v>0</v>
      </c>
      <c r="AA74" s="57">
        <f>'List of Courses'!J61</f>
        <v>4</v>
      </c>
      <c r="AB74" s="57" t="str">
        <f>'List of Courses'!K16</f>
        <v>MTH214</v>
      </c>
      <c r="AC74" s="57">
        <f>'List of Courses'!L16</f>
        <v>0</v>
      </c>
      <c r="AD74" s="57">
        <f>'List of Courses'!M16</f>
        <v>0</v>
      </c>
      <c r="AE74" s="57">
        <f>'List of Courses'!N16</f>
        <v>0</v>
      </c>
      <c r="AF74" s="57">
        <f>'List of Courses'!O16</f>
        <v>1</v>
      </c>
      <c r="AG74" s="57">
        <f>'List of Courses'!P16</f>
        <v>0</v>
      </c>
    </row>
    <row r="75" spans="2:34" x14ac:dyDescent="0.3">
      <c r="B75" s="21"/>
      <c r="C75" s="21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302"/>
      <c r="S75" s="57" t="str">
        <f>'List of Courses'!B17</f>
        <v>MTH318</v>
      </c>
      <c r="T75" s="111" t="str">
        <f>'List of Courses'!C17</f>
        <v>Advanced Numerical Analysis</v>
      </c>
      <c r="U75" s="57">
        <f>'List of Courses'!D17</f>
        <v>3</v>
      </c>
      <c r="V75" s="57">
        <f>'List of Courses'!E17</f>
        <v>5</v>
      </c>
      <c r="W75" s="57">
        <f>'List of Courses'!F17</f>
        <v>125</v>
      </c>
      <c r="X75" s="57">
        <f>'List of Courses'!G17</f>
        <v>2</v>
      </c>
      <c r="Y75" s="57">
        <f>'List of Courses'!H17</f>
        <v>2</v>
      </c>
      <c r="Z75" s="57">
        <f>'List of Courses'!I17</f>
        <v>0</v>
      </c>
      <c r="AA75" s="57">
        <f>'List of Courses'!J80</f>
        <v>0</v>
      </c>
      <c r="AB75" s="57" t="str">
        <f>'List of Courses'!K17</f>
        <v>MTH112 &amp; MTH113</v>
      </c>
      <c r="AC75" s="57">
        <f>'List of Courses'!L17</f>
        <v>0</v>
      </c>
      <c r="AD75" s="57">
        <f>'List of Courses'!M17</f>
        <v>0</v>
      </c>
      <c r="AE75" s="57">
        <f>'List of Courses'!N17</f>
        <v>0</v>
      </c>
      <c r="AF75" s="57">
        <f>'List of Courses'!O17</f>
        <v>1</v>
      </c>
      <c r="AG75" s="57">
        <f>'List of Courses'!P17</f>
        <v>0</v>
      </c>
    </row>
    <row r="76" spans="2:34" x14ac:dyDescent="0.3">
      <c r="B76" s="21"/>
      <c r="C76" s="21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303"/>
      <c r="S76" s="57" t="str">
        <f>'List of Courses'!B18</f>
        <v>MTH319</v>
      </c>
      <c r="T76" s="111" t="str">
        <f>'List of Courses'!C18</f>
        <v>Advanced Probability and Statistics</v>
      </c>
      <c r="U76" s="57">
        <f>'List of Courses'!D18</f>
        <v>3</v>
      </c>
      <c r="V76" s="57">
        <f>'List of Courses'!E18</f>
        <v>5</v>
      </c>
      <c r="W76" s="57">
        <f>'List of Courses'!F18</f>
        <v>125</v>
      </c>
      <c r="X76" s="57">
        <f>'List of Courses'!G18</f>
        <v>2</v>
      </c>
      <c r="Y76" s="57">
        <f>'List of Courses'!H18</f>
        <v>2</v>
      </c>
      <c r="Z76" s="57">
        <f>'List of Courses'!I18</f>
        <v>0</v>
      </c>
      <c r="AA76" s="57">
        <f>'List of Courses'!J66</f>
        <v>4</v>
      </c>
      <c r="AB76" s="57" t="str">
        <f>'List of Courses'!K18</f>
        <v>MTH216</v>
      </c>
      <c r="AC76" s="57">
        <f>'List of Courses'!L18</f>
        <v>0</v>
      </c>
      <c r="AD76" s="57">
        <f>'List of Courses'!M18</f>
        <v>0</v>
      </c>
      <c r="AE76" s="57">
        <f>'List of Courses'!N18</f>
        <v>0</v>
      </c>
      <c r="AF76" s="57">
        <f>'List of Courses'!O18</f>
        <v>1</v>
      </c>
      <c r="AG76" s="57">
        <f>'List of Courses'!P18</f>
        <v>0</v>
      </c>
    </row>
    <row r="80" spans="2:34" x14ac:dyDescent="0.3">
      <c r="D80" s="14"/>
      <c r="E80" s="14"/>
      <c r="F80" s="14"/>
      <c r="G80" s="14"/>
      <c r="H80" s="14"/>
      <c r="I80" s="14"/>
      <c r="J80" s="14"/>
      <c r="K80" s="15"/>
      <c r="L80" s="6"/>
      <c r="M80" s="6"/>
      <c r="N80" s="6"/>
      <c r="O80" s="6"/>
      <c r="P80" s="6"/>
      <c r="Q80" s="6"/>
    </row>
    <row r="81" spans="4:17" x14ac:dyDescent="0.3">
      <c r="D81" s="14"/>
      <c r="E81" s="14"/>
      <c r="F81" s="14"/>
      <c r="G81" s="14"/>
      <c r="H81" s="14"/>
      <c r="I81" s="14"/>
      <c r="J81" s="14"/>
      <c r="K81" s="15"/>
      <c r="L81" s="6"/>
      <c r="M81" s="6"/>
      <c r="N81" s="6"/>
      <c r="O81" s="6"/>
      <c r="P81" s="6"/>
      <c r="Q81" s="6"/>
    </row>
  </sheetData>
  <mergeCells count="125">
    <mergeCell ref="AF72:AF73"/>
    <mergeCell ref="AG72:AG73"/>
    <mergeCell ref="R72:R76"/>
    <mergeCell ref="S72:S73"/>
    <mergeCell ref="T72:T73"/>
    <mergeCell ref="U72:W72"/>
    <mergeCell ref="X72:AA72"/>
    <mergeCell ref="AB72:AB73"/>
    <mergeCell ref="AC72:AC73"/>
    <mergeCell ref="AD72:AD73"/>
    <mergeCell ref="AE72:AE73"/>
    <mergeCell ref="S2:AH5"/>
    <mergeCell ref="A12:A21"/>
    <mergeCell ref="B12:B13"/>
    <mergeCell ref="C12:C13"/>
    <mergeCell ref="D12:F12"/>
    <mergeCell ref="G12:J12"/>
    <mergeCell ref="K12:K13"/>
    <mergeCell ref="L12:L13"/>
    <mergeCell ref="M12:M13"/>
    <mergeCell ref="N12:N13"/>
    <mergeCell ref="C2:C3"/>
    <mergeCell ref="D2:F2"/>
    <mergeCell ref="G2:J2"/>
    <mergeCell ref="K2:K3"/>
    <mergeCell ref="L2:L3"/>
    <mergeCell ref="M2:M3"/>
    <mergeCell ref="AF12:AF13"/>
    <mergeCell ref="AG12:AG13"/>
    <mergeCell ref="AH12:AH13"/>
    <mergeCell ref="AB12:AB13"/>
    <mergeCell ref="AC12:AC13"/>
    <mergeCell ref="AD12:AD13"/>
    <mergeCell ref="AE12:AE13"/>
    <mergeCell ref="A24:A33"/>
    <mergeCell ref="B24:B25"/>
    <mergeCell ref="C24:C25"/>
    <mergeCell ref="D24:F24"/>
    <mergeCell ref="G24:J24"/>
    <mergeCell ref="K24:K25"/>
    <mergeCell ref="L24:L25"/>
    <mergeCell ref="U12:W12"/>
    <mergeCell ref="X12:AA12"/>
    <mergeCell ref="O12:O13"/>
    <mergeCell ref="P12:P13"/>
    <mergeCell ref="Q12:Q13"/>
    <mergeCell ref="R12:R21"/>
    <mergeCell ref="S12:S13"/>
    <mergeCell ref="T12:T13"/>
    <mergeCell ref="AD24:AD25"/>
    <mergeCell ref="AE24:AE25"/>
    <mergeCell ref="AF24:AF25"/>
    <mergeCell ref="AG24:AG25"/>
    <mergeCell ref="AH24:AH25"/>
    <mergeCell ref="A36:A45"/>
    <mergeCell ref="B36:B37"/>
    <mergeCell ref="C36:C37"/>
    <mergeCell ref="D36:F36"/>
    <mergeCell ref="G36:J36"/>
    <mergeCell ref="S24:S25"/>
    <mergeCell ref="T24:T25"/>
    <mergeCell ref="U24:W24"/>
    <mergeCell ref="X24:AA24"/>
    <mergeCell ref="AB24:AB25"/>
    <mergeCell ref="AC24:AC25"/>
    <mergeCell ref="M24:M25"/>
    <mergeCell ref="N24:N25"/>
    <mergeCell ref="O24:O25"/>
    <mergeCell ref="P24:P25"/>
    <mergeCell ref="Q24:Q25"/>
    <mergeCell ref="R24:R33"/>
    <mergeCell ref="S36:S37"/>
    <mergeCell ref="T36:T37"/>
    <mergeCell ref="N36:N37"/>
    <mergeCell ref="O36:O37"/>
    <mergeCell ref="P36:P37"/>
    <mergeCell ref="O48:O49"/>
    <mergeCell ref="P48:P49"/>
    <mergeCell ref="Q48:Q49"/>
    <mergeCell ref="R48:R56"/>
    <mergeCell ref="S48:S49"/>
    <mergeCell ref="T48:T49"/>
    <mergeCell ref="R59:R69"/>
    <mergeCell ref="AH36:AH37"/>
    <mergeCell ref="A48:A56"/>
    <mergeCell ref="B48:B49"/>
    <mergeCell ref="C48:C49"/>
    <mergeCell ref="D48:F48"/>
    <mergeCell ref="G48:J48"/>
    <mergeCell ref="K48:K49"/>
    <mergeCell ref="L48:L49"/>
    <mergeCell ref="M48:M49"/>
    <mergeCell ref="N48:N49"/>
    <mergeCell ref="AB36:AB37"/>
    <mergeCell ref="AC36:AC37"/>
    <mergeCell ref="AD36:AD37"/>
    <mergeCell ref="AE36:AE37"/>
    <mergeCell ref="AF36:AF37"/>
    <mergeCell ref="AG36:AG37"/>
    <mergeCell ref="Q36:Q37"/>
    <mergeCell ref="R36:R45"/>
    <mergeCell ref="U36:W36"/>
    <mergeCell ref="X36:AA36"/>
    <mergeCell ref="K36:K37"/>
    <mergeCell ref="L36:L37"/>
    <mergeCell ref="M36:M37"/>
    <mergeCell ref="AD59:AD60"/>
    <mergeCell ref="AE59:AE60"/>
    <mergeCell ref="AF59:AF60"/>
    <mergeCell ref="AG59:AG60"/>
    <mergeCell ref="AF48:AF49"/>
    <mergeCell ref="AG48:AG49"/>
    <mergeCell ref="AH48:AH49"/>
    <mergeCell ref="S59:S60"/>
    <mergeCell ref="T59:T60"/>
    <mergeCell ref="U59:W59"/>
    <mergeCell ref="X59:AA59"/>
    <mergeCell ref="AB59:AB60"/>
    <mergeCell ref="AC59:AC60"/>
    <mergeCell ref="U48:W48"/>
    <mergeCell ref="X48:AA48"/>
    <mergeCell ref="AB48:AB49"/>
    <mergeCell ref="AC48:AC49"/>
    <mergeCell ref="AD48:AD49"/>
    <mergeCell ref="AE48:AE49"/>
  </mergeCells>
  <conditionalFormatting sqref="D22">
    <cfRule type="cellIs" dxfId="75" priority="21" operator="greaterThan">
      <formula>18</formula>
    </cfRule>
  </conditionalFormatting>
  <conditionalFormatting sqref="D34">
    <cfRule type="cellIs" dxfId="74" priority="13" operator="greaterThan">
      <formula>18</formula>
    </cfRule>
  </conditionalFormatting>
  <conditionalFormatting sqref="D46">
    <cfRule type="cellIs" dxfId="73" priority="15" operator="greaterThan">
      <formula>18</formula>
    </cfRule>
  </conditionalFormatting>
  <conditionalFormatting sqref="D57">
    <cfRule type="cellIs" dxfId="72" priority="17" operator="greaterThan">
      <formula>18</formula>
    </cfRule>
  </conditionalFormatting>
  <conditionalFormatting sqref="E22">
    <cfRule type="cellIs" dxfId="71" priority="22" operator="greaterThan">
      <formula>30</formula>
    </cfRule>
  </conditionalFormatting>
  <conditionalFormatting sqref="E34">
    <cfRule type="cellIs" dxfId="70" priority="14" operator="greaterThan">
      <formula>30</formula>
    </cfRule>
  </conditionalFormatting>
  <conditionalFormatting sqref="E46">
    <cfRule type="cellIs" dxfId="69" priority="16" operator="greaterThan">
      <formula>30</formula>
    </cfRule>
  </conditionalFormatting>
  <conditionalFormatting sqref="E57">
    <cfRule type="cellIs" dxfId="68" priority="18" operator="greaterThan">
      <formula>30</formula>
    </cfRule>
  </conditionalFormatting>
  <conditionalFormatting sqref="F22">
    <cfRule type="cellIs" dxfId="67" priority="30" operator="greaterThan">
      <formula>750</formula>
    </cfRule>
  </conditionalFormatting>
  <conditionalFormatting sqref="F34">
    <cfRule type="cellIs" dxfId="66" priority="28" operator="greaterThan">
      <formula>750</formula>
    </cfRule>
  </conditionalFormatting>
  <conditionalFormatting sqref="F46">
    <cfRule type="cellIs" dxfId="65" priority="26" operator="greaterThan">
      <formula>750</formula>
    </cfRule>
  </conditionalFormatting>
  <conditionalFormatting sqref="F57">
    <cfRule type="cellIs" dxfId="64" priority="24" operator="greaterThan">
      <formula>750</formula>
    </cfRule>
  </conditionalFormatting>
  <conditionalFormatting sqref="J22">
    <cfRule type="cellIs" dxfId="63" priority="38" operator="greaterThan">
      <formula>25</formula>
    </cfRule>
  </conditionalFormatting>
  <conditionalFormatting sqref="J34">
    <cfRule type="cellIs" dxfId="62" priority="37" operator="greaterThan">
      <formula>25</formula>
    </cfRule>
  </conditionalFormatting>
  <conditionalFormatting sqref="J46">
    <cfRule type="cellIs" dxfId="61" priority="36" operator="greaterThan">
      <formula>25</formula>
    </cfRule>
  </conditionalFormatting>
  <conditionalFormatting sqref="J57">
    <cfRule type="cellIs" dxfId="60" priority="35" operator="greaterThan">
      <formula>25</formula>
    </cfRule>
  </conditionalFormatting>
  <conditionalFormatting sqref="M4">
    <cfRule type="cellIs" dxfId="59" priority="6" operator="lessThan">
      <formula>$L$4</formula>
    </cfRule>
  </conditionalFormatting>
  <conditionalFormatting sqref="M5">
    <cfRule type="cellIs" dxfId="58" priority="5" operator="lessThan">
      <formula>$L$5</formula>
    </cfRule>
  </conditionalFormatting>
  <conditionalFormatting sqref="M6">
    <cfRule type="cellIs" dxfId="57" priority="4" operator="lessThan">
      <formula>$L$6</formula>
    </cfRule>
  </conditionalFormatting>
  <conditionalFormatting sqref="M7">
    <cfRule type="cellIs" dxfId="56" priority="3" operator="lessThan">
      <formula>$L$7</formula>
    </cfRule>
  </conditionalFormatting>
  <conditionalFormatting sqref="M8">
    <cfRule type="cellIs" dxfId="55" priority="2" operator="greaterThan">
      <formula>$L$8</formula>
    </cfRule>
  </conditionalFormatting>
  <conditionalFormatting sqref="M9">
    <cfRule type="cellIs" dxfId="54" priority="1" operator="lessThan">
      <formula>$L$9</formula>
    </cfRule>
  </conditionalFormatting>
  <conditionalFormatting sqref="U22">
    <cfRule type="cellIs" dxfId="53" priority="19" operator="greaterThan">
      <formula>18</formula>
    </cfRule>
  </conditionalFormatting>
  <conditionalFormatting sqref="U34">
    <cfRule type="cellIs" dxfId="52" priority="11" operator="greaterThan">
      <formula>18</formula>
    </cfRule>
  </conditionalFormatting>
  <conditionalFormatting sqref="U46">
    <cfRule type="cellIs" dxfId="51" priority="9" operator="greaterThan">
      <formula>18</formula>
    </cfRule>
  </conditionalFormatting>
  <conditionalFormatting sqref="U57">
    <cfRule type="cellIs" dxfId="50" priority="7" operator="greaterThan">
      <formula>18</formula>
    </cfRule>
  </conditionalFormatting>
  <conditionalFormatting sqref="V22">
    <cfRule type="cellIs" dxfId="49" priority="20" operator="greaterThan">
      <formula>30</formula>
    </cfRule>
  </conditionalFormatting>
  <conditionalFormatting sqref="V34">
    <cfRule type="cellIs" dxfId="48" priority="12" operator="greaterThan">
      <formula>30</formula>
    </cfRule>
  </conditionalFormatting>
  <conditionalFormatting sqref="V46">
    <cfRule type="cellIs" dxfId="47" priority="10" operator="greaterThan">
      <formula>30</formula>
    </cfRule>
  </conditionalFormatting>
  <conditionalFormatting sqref="V57">
    <cfRule type="cellIs" dxfId="46" priority="8" operator="greaterThan">
      <formula>30</formula>
    </cfRule>
  </conditionalFormatting>
  <conditionalFormatting sqref="W22">
    <cfRule type="cellIs" dxfId="45" priority="29" operator="greaterThan">
      <formula>750</formula>
    </cfRule>
  </conditionalFormatting>
  <conditionalFormatting sqref="W34">
    <cfRule type="cellIs" dxfId="44" priority="27" operator="greaterThan">
      <formula>750</formula>
    </cfRule>
  </conditionalFormatting>
  <conditionalFormatting sqref="W46">
    <cfRule type="cellIs" dxfId="43" priority="25" operator="greaterThan">
      <formula>750</formula>
    </cfRule>
  </conditionalFormatting>
  <conditionalFormatting sqref="W57">
    <cfRule type="cellIs" dxfId="42" priority="23" operator="greaterThan">
      <formula>750</formula>
    </cfRule>
  </conditionalFormatting>
  <conditionalFormatting sqref="AA22">
    <cfRule type="cellIs" dxfId="41" priority="31" operator="greaterThan">
      <formula>25</formula>
    </cfRule>
  </conditionalFormatting>
  <conditionalFormatting sqref="AA34">
    <cfRule type="cellIs" dxfId="40" priority="32" operator="greaterThan">
      <formula>25</formula>
    </cfRule>
  </conditionalFormatting>
  <conditionalFormatting sqref="AA46">
    <cfRule type="cellIs" dxfId="39" priority="33" operator="greaterThan">
      <formula>25</formula>
    </cfRule>
  </conditionalFormatting>
  <conditionalFormatting sqref="AA57">
    <cfRule type="cellIs" dxfId="38" priority="34" operator="greaterThan">
      <formula>25</formula>
    </cfRule>
  </conditionalFormatting>
  <printOptions horizontalCentered="1" verticalCentered="1"/>
  <pageMargins left="0.16" right="0.25" top="0.16" bottom="0.16" header="0.16" footer="0.16"/>
  <pageSetup paperSize="9" scale="41" fitToHeight="0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D798A3-7A31-4936-B6B1-94013C62C8FF}">
  <sheetPr>
    <tabColor rgb="FF00B050"/>
    <pageSetUpPr fitToPage="1"/>
  </sheetPr>
  <dimension ref="A2:AH81"/>
  <sheetViews>
    <sheetView zoomScale="25" zoomScaleNormal="25" workbookViewId="0">
      <selection activeCell="T98" sqref="T98"/>
    </sheetView>
  </sheetViews>
  <sheetFormatPr defaultRowHeight="14.4" x14ac:dyDescent="0.3"/>
  <cols>
    <col min="1" max="1" width="8.88671875" customWidth="1"/>
    <col min="3" max="3" width="49.6640625" customWidth="1"/>
    <col min="5" max="5" width="6.33203125" customWidth="1"/>
    <col min="6" max="6" width="8.5546875" customWidth="1"/>
    <col min="7" max="8" width="7.6640625" customWidth="1"/>
    <col min="9" max="9" width="7.33203125" customWidth="1"/>
    <col min="10" max="10" width="7.109375" customWidth="1"/>
    <col min="11" max="11" width="11.6640625" customWidth="1"/>
    <col min="12" max="12" width="8.77734375" bestFit="1" customWidth="1"/>
    <col min="13" max="13" width="9.77734375" customWidth="1"/>
    <col min="14" max="14" width="6.88671875" customWidth="1"/>
    <col min="15" max="15" width="6.21875" customWidth="1"/>
    <col min="16" max="16" width="6.33203125" customWidth="1"/>
    <col min="17" max="17" width="6.77734375" customWidth="1"/>
    <col min="20" max="20" width="53.33203125" customWidth="1"/>
    <col min="22" max="22" width="6.33203125" bestFit="1" customWidth="1"/>
    <col min="23" max="23" width="7.33203125" customWidth="1"/>
    <col min="24" max="25" width="8.88671875" customWidth="1"/>
    <col min="26" max="26" width="8.109375" customWidth="1"/>
    <col min="27" max="27" width="8.88671875" customWidth="1"/>
    <col min="31" max="31" width="8" customWidth="1"/>
  </cols>
  <sheetData>
    <row r="2" spans="1:34" ht="21" customHeight="1" x14ac:dyDescent="0.3">
      <c r="B2" s="29"/>
      <c r="C2" s="296" t="s">
        <v>0</v>
      </c>
      <c r="D2" s="298" t="s">
        <v>1</v>
      </c>
      <c r="E2" s="298"/>
      <c r="F2" s="298"/>
      <c r="G2" s="298" t="s">
        <v>2</v>
      </c>
      <c r="H2" s="298"/>
      <c r="I2" s="298"/>
      <c r="J2" s="298"/>
      <c r="K2" s="298" t="s">
        <v>82</v>
      </c>
      <c r="L2" s="298" t="s">
        <v>81</v>
      </c>
      <c r="M2" s="298" t="s">
        <v>83</v>
      </c>
      <c r="R2" s="82"/>
      <c r="S2" s="300" t="s">
        <v>99</v>
      </c>
      <c r="T2" s="300"/>
      <c r="U2" s="300"/>
      <c r="V2" s="300"/>
      <c r="W2" s="300"/>
      <c r="X2" s="300"/>
      <c r="Y2" s="300"/>
      <c r="Z2" s="300"/>
      <c r="AA2" s="300"/>
      <c r="AB2" s="300"/>
      <c r="AC2" s="300"/>
      <c r="AD2" s="300"/>
      <c r="AE2" s="300"/>
      <c r="AF2" s="300"/>
      <c r="AG2" s="300"/>
      <c r="AH2" s="300"/>
    </row>
    <row r="3" spans="1:34" ht="14.4" customHeight="1" x14ac:dyDescent="0.3">
      <c r="B3" s="29"/>
      <c r="C3" s="297"/>
      <c r="D3" s="17" t="s">
        <v>3</v>
      </c>
      <c r="E3" s="17" t="s">
        <v>4</v>
      </c>
      <c r="F3" s="17" t="s">
        <v>5</v>
      </c>
      <c r="G3" s="17" t="s">
        <v>6</v>
      </c>
      <c r="H3" s="17" t="s">
        <v>7</v>
      </c>
      <c r="I3" s="17" t="s">
        <v>8</v>
      </c>
      <c r="J3" s="17" t="s">
        <v>9</v>
      </c>
      <c r="K3" s="299"/>
      <c r="L3" s="299"/>
      <c r="M3" s="299"/>
      <c r="Q3" s="82"/>
      <c r="R3" s="82"/>
      <c r="S3" s="300"/>
      <c r="T3" s="300"/>
      <c r="U3" s="300"/>
      <c r="V3" s="300"/>
      <c r="W3" s="300"/>
      <c r="X3" s="300"/>
      <c r="Y3" s="300"/>
      <c r="Z3" s="300"/>
      <c r="AA3" s="300"/>
      <c r="AB3" s="300"/>
      <c r="AC3" s="300"/>
      <c r="AD3" s="300"/>
      <c r="AE3" s="300"/>
      <c r="AF3" s="300"/>
      <c r="AG3" s="300"/>
      <c r="AH3" s="300"/>
    </row>
    <row r="4" spans="1:34" ht="14.4" customHeight="1" x14ac:dyDescent="0.3">
      <c r="B4" s="77"/>
      <c r="C4" s="37" t="s">
        <v>10</v>
      </c>
      <c r="D4" s="7" cm="1">
        <f t="array" ref="D4">SUM(SUM(D14:D21*$L14:$L21),SUM(U14:U21*$AC14:$AC21), SUM(D26:D33*$L26:$L33), SUM(U26:U33*$AC26:$AC33), SUM(D38:D45*$L38:$L45), SUM(U38:U45*$AC38:$AC45),SUM(D50:D56*$L50:$L56), SUM(U50:U56*$AC50:$AC56))</f>
        <v>12</v>
      </c>
      <c r="E4" s="7" cm="1">
        <f t="array" ref="E4">SUM(SUM(E14:E21*$L14:$L21),SUM(V14:V21*$AC14:$AC21), SUM(E26:E33*$L26:$L33), SUM(V26:V33*$AC26:$AC33), SUM(E38:E45*$L38:$L45), SUM(V38:V45*$AC38:$AC45),SUM(E50:E56*$L50:$L56), SUM(V50:V56*$AC50:$AC56))</f>
        <v>20</v>
      </c>
      <c r="F4" s="7" cm="1">
        <f t="array" ref="F4">SUM(SUM(F14:F21*$L14:$L21),SUM(W14:W21*$AC14:$AC21), SUM(F26:F33*$L26:$L33), SUM(W26:W33*$AC26:$AC33), SUM(F38:F45*$L38:$L45), SUM(W38:W45*$AC38:$AC45),SUM(F50:F56*$L50:$L56), SUM(W50:W56*$AC50:$AC56))</f>
        <v>500</v>
      </c>
      <c r="G4" s="7" cm="1">
        <f t="array" ref="G4">SUM(SUM(G14:G21*$L14:$L21),SUM(X14:X21*$AC14:$AC21), SUM(G26:G33*$L26:$L33), SUM(X26:X33*$AC26:$AC33), SUM(G38:G45*$L38:$L45), SUM(X38:X45*$AC38:$AC45),SUM(G50:G56*$L50:$L56), SUM(X50:X56*$AC50:$AC56))</f>
        <v>10</v>
      </c>
      <c r="H4" s="7" cm="1">
        <f t="array" ref="H4">SUM(SUM(H14:H21*$L14:$L21),SUM(Y14:Y21*$AC14:$AC21), SUM(H26:H33*$L26:$L33), SUM(Y26:Y33*$AC26:$AC33), SUM(H38:H45*$L38:$L45), SUM(Y38:Y45*$AC38:$AC45),SUM(H50:H56*$L50:$L56), SUM(Y50:Y56*$AC50:$AC56))</f>
        <v>2</v>
      </c>
      <c r="I4" s="7" cm="1">
        <f t="array" ref="I4">SUM(SUM(I14:I21*$L14:$L21),SUM(Z14:Z21*$AC14:$AC21), SUM(I26:I33*$L26:$L33), SUM(Z26:Z33*$AC26:$AC33), SUM(I38:I45*$L38:$L45), SUM(Z38:Z45*$AC38:$AC45),SUM(I50:I56*$L50:$L56), SUM(Z50:Z56*$AC50:$AC56))</f>
        <v>2</v>
      </c>
      <c r="J4" s="7" cm="1">
        <f t="array" ref="J4">SUM(SUM(J14:J21*$L14:$L21),SUM(AA14:AA21*$AC14:$AC21), SUM(J26:J33*$L26:$L33), SUM(AA26:AA33*$AC26:$AC33), SUM(J38:J45*$L38:$L45), SUM(AA38:AA45*$AC38:$AC45),SUM(J50:J56*$L50:$L56), SUM(AA50:AA56*$AC50:$AC56))</f>
        <v>14</v>
      </c>
      <c r="K4" s="72" t="s">
        <v>11</v>
      </c>
      <c r="L4" s="49">
        <v>0.08</v>
      </c>
      <c r="M4" s="259">
        <f t="shared" ref="M4:M9" si="0">D4/$D$10</f>
        <v>8.3333333333333329E-2</v>
      </c>
      <c r="Q4" s="82"/>
      <c r="R4" s="82"/>
      <c r="S4" s="300"/>
      <c r="T4" s="300"/>
      <c r="U4" s="300"/>
      <c r="V4" s="300"/>
      <c r="W4" s="300"/>
      <c r="X4" s="300"/>
      <c r="Y4" s="300"/>
      <c r="Z4" s="300"/>
      <c r="AA4" s="300"/>
      <c r="AB4" s="300"/>
      <c r="AC4" s="300"/>
      <c r="AD4" s="300"/>
      <c r="AE4" s="300"/>
      <c r="AF4" s="300"/>
      <c r="AG4" s="300"/>
      <c r="AH4" s="300"/>
    </row>
    <row r="5" spans="1:34" ht="14.4" customHeight="1" x14ac:dyDescent="0.3">
      <c r="B5" s="77"/>
      <c r="C5" s="85" t="s">
        <v>12</v>
      </c>
      <c r="D5" s="35" cm="1">
        <f t="array" ref="D5">SUM(SUM(D14:D21*$M14:$M21),SUM(U14:U21*$AD14:$AD21), SUM(D26:D33*$M26:$M33), SUM(U26:U33*$AD26:$AD33), SUM(D38:D45*$M38:$M45), SUM(U38:U45*$AD38:$AD45),SUM(D50:D56*$M50:$M56), SUM(U50:U56*$AD50:$AD56))</f>
        <v>30</v>
      </c>
      <c r="E5" s="35" cm="1">
        <f t="array" ref="E5">SUM(SUM(E14:E21*$M14:$M21),SUM(V14:V21*$AD14:$AD21), SUM(E26:E33*$M26:$M33), SUM(V26:V33*$AD26:$AD33), SUM(E38:E45*$M38:$M45), SUM(V38:V45*$AD38:$AD45),SUM(E50:E56*$M50:$M56), SUM(V50:V56*$AD50:$AD56))</f>
        <v>50</v>
      </c>
      <c r="F5" s="35" cm="1">
        <f t="array" ref="F5">SUM(SUM(F14:F21*$M14:$M21),SUM(W14:W21*$AD14:$AD21), SUM(F26:F33*$M26:$M33), SUM(W26:W33*$AD26:$AD33), SUM(F38:F45*$M38:$M45), SUM(W38:W45*$AD38:$AD45),SUM(F50:F56*$M50:$M56), SUM(W50:W56*$AD50:$AD56))</f>
        <v>1250</v>
      </c>
      <c r="G5" s="35" cm="1">
        <f t="array" ref="G5">SUM(SUM(G14:G21*$M14:$M21),SUM(X14:X21*$AD14:$AD21), SUM(G26:G33*$M26:$M33), SUM(X26:X33*$AD26:$AD33), SUM(G38:G45*$M38:$M45), SUM(X38:X45*$AD38:$AD45),SUM(G50:G56*$M50:$M56), SUM(X50:X56*$AD50:$AD56))</f>
        <v>20</v>
      </c>
      <c r="H5" s="35" cm="1">
        <f t="array" ref="H5">SUM(SUM(H14:H21*$M14:$M21),SUM(Y14:Y21*$AD14:$AD21), SUM(H26:H33*$M26:$M33), SUM(Y26:Y33*$AD26:$AD33), SUM(H38:H45*$M38:$M45), SUM(Y38:Y45*$AD38:$AD45),SUM(H50:H56*$M50:$M56), SUM(Y50:Y56*$AD50:$AD56))</f>
        <v>16</v>
      </c>
      <c r="I5" s="35" cm="1">
        <f t="array" ref="I5">SUM(SUM(I14:I21*$M14:$M21),SUM(Z14:Z21*$AD14:$AD21), SUM(I26:I33*$M26:$M33), SUM(Z26:Z33*$AD26:$AD33), SUM(I38:I45*$M38:$M45), SUM(Z38:Z45*$AD38:$AD45),SUM(I50:I56*$M50:$M56), SUM(Z50:Z56*$AD50:$AD56))</f>
        <v>5</v>
      </c>
      <c r="J5" s="35" cm="1">
        <f t="array" ref="J5">SUM(SUM(J14:J21*$M14:$M21),SUM(AA14:AA21*$AD14:$AD21), SUM(J26:J33*$M26:$M33), SUM(AA26:AA33*$AD26:$AD33), SUM(J38:J45*$M38:$M45), SUM(AA38:AA45*$AD38:$AD45),SUM(J50:J56*$M50:$M56), SUM(AA50:AA56*$AD50:$AD56))</f>
        <v>41</v>
      </c>
      <c r="K5" s="35" t="s">
        <v>13</v>
      </c>
      <c r="L5" s="36">
        <v>0.2</v>
      </c>
      <c r="M5" s="36">
        <f t="shared" si="0"/>
        <v>0.20833333333333334</v>
      </c>
      <c r="Q5" s="82"/>
      <c r="R5" s="82"/>
      <c r="S5" s="300"/>
      <c r="T5" s="300"/>
      <c r="U5" s="300"/>
      <c r="V5" s="300"/>
      <c r="W5" s="300"/>
      <c r="X5" s="300"/>
      <c r="Y5" s="300"/>
      <c r="Z5" s="300"/>
      <c r="AA5" s="300"/>
      <c r="AB5" s="300"/>
      <c r="AC5" s="300"/>
      <c r="AD5" s="300"/>
      <c r="AE5" s="300"/>
      <c r="AF5" s="300"/>
      <c r="AG5" s="300"/>
      <c r="AH5" s="300"/>
    </row>
    <row r="6" spans="1:34" x14ac:dyDescent="0.3">
      <c r="B6" s="77"/>
      <c r="C6" s="39" t="s">
        <v>14</v>
      </c>
      <c r="D6" s="40" cm="1">
        <f t="array" ref="D6">SUM(SUM(D14:D21*$N14:$N21),SUM(U14:U21*$AE14:$AE21), SUM(D26:D33*$N26:$N33), SUM(U26:U33*$AE26:$AE33), SUM(D38:D45*$N38:$N45), SUM(U38:U45*$AE38:$AE45),SUM(D50:D56*$N50:$N56), SUM(U50:U56*$AE50:$AE56))</f>
        <v>27</v>
      </c>
      <c r="E6" s="40" cm="1">
        <f t="array" ref="E6">SUM(SUM(E14:E21*$N14:$N21),SUM(V14:V21*$AE14:$AE21), SUM(E26:E33*$N26:$N33), SUM(V26:V33*$AE26:$AE33), SUM(E38:E45*$N38:$N45), SUM(V38:V45*$AE38:$AE45),SUM(E50:E56*$N50:$N56), SUM(V50:V56*$AE50:$AE56))</f>
        <v>45</v>
      </c>
      <c r="F6" s="40" cm="1">
        <f t="array" ref="F6">SUM(SUM(F14:F21*$N14:$N21),SUM(W14:W21*$AE14:$AE21), SUM(F26:F33*$N26:$N33), SUM(W26:W33*$AE26:$AE33), SUM(F38:F45*$N38:$N45), SUM(W38:W45*$AE38:$AE45),SUM(F50:F56*$N50:$N56), SUM(W50:W56*$AE50:$AE56))</f>
        <v>1125</v>
      </c>
      <c r="G6" s="40" cm="1">
        <f t="array" ref="G6">SUM(SUM(G14:G21*$N14:$N21),SUM(X14:X21*$AE14:$AE21), SUM(G26:G33*$N26:$N33), SUM(X26:X33*$AE26:$AE33), SUM(G38:G45*$N38:$N45), SUM(X38:X45*$AE38:$AE45),SUM(G50:G56*$N50:$N56), SUM(X50:X56*$AE50:$AE56))</f>
        <v>18</v>
      </c>
      <c r="H6" s="40" cm="1">
        <f t="array" ref="H6">SUM(SUM(H14:H21*$N14:$N21),SUM(Y14:Y21*$AE14:$AE21), SUM(H26:H33*$N26:$N33), SUM(Y26:Y33*$AE26:$AE33), SUM(H38:H45*$N38:$N45), SUM(Y38:Y45*$AE38:$AE45),SUM(H50:H56*$N50:$N56), SUM(Y50:Y56*$AE50:$AE56))</f>
        <v>17</v>
      </c>
      <c r="I6" s="40" cm="1">
        <f t="array" ref="I6">SUM(SUM(I14:I21*$N14:$N21),SUM(Z14:Z21*$AE14:$AE21), SUM(I26:I33*$N26:$N33), SUM(Z26:Z33*$AE26:$AE33), SUM(I38:I45*$N38:$N45), SUM(Z38:Z45*$AE38:$AE45),SUM(I50:I56*$N50:$N56), SUM(Z50:Z56*$AE50:$AE56))</f>
        <v>2</v>
      </c>
      <c r="J6" s="40" cm="1">
        <f t="array" ref="J6">SUM(SUM(J14:J21*$N14:$N21),SUM(AA14:AA21*$AE14:$AE21), SUM(J26:J33*$N26:$N33), SUM(AA26:AA33*$AE26:$AE33), SUM(J38:J45*$N38:$N45), SUM(AA38:AA45*$AE38:$AE45),SUM(J50:J56*$N50:$N56), SUM(AA50:AA56*$AE50:$AE56))</f>
        <v>37</v>
      </c>
      <c r="K6" s="40" t="s">
        <v>87</v>
      </c>
      <c r="L6" s="48">
        <v>0.17</v>
      </c>
      <c r="M6" s="48">
        <f t="shared" si="0"/>
        <v>0.1875</v>
      </c>
    </row>
    <row r="7" spans="1:34" x14ac:dyDescent="0.3">
      <c r="B7" s="77"/>
      <c r="C7" s="43" t="s">
        <v>103</v>
      </c>
      <c r="D7" s="44" cm="1">
        <f t="array" ref="D7">SUM(SUM(D14:D21*$O14:$O21),SUM(U14:U21*$AF14:$AF21), SUM(D26:D33*$O26:$O33), SUM(U26:U33*$AF26:$AF33), SUM(D38:D45*$O38:$O45), SUM(U38:U45*$AF38:$AF45),SUM(D50:D56*$O50:$O56), SUM(U50:U56*$AF50:$AF56))</f>
        <v>66</v>
      </c>
      <c r="E7" s="44" cm="1">
        <f t="array" ref="E7">SUM(SUM(E14:E21*$O14:$O21),SUM(V14:V21*$AF14:$AF21), SUM(E26:E33*$O26:$O33), SUM(V26:V33*$AF26:$AF33), SUM(E38:E45*$O38:$O45), SUM(V38:V45*$AF38:$AF45),SUM(E50:E56*$O50:$O56), SUM(V50:V56*$AF50:$AF56))</f>
        <v>110</v>
      </c>
      <c r="F7" s="44" cm="1">
        <f t="array" ref="F7">SUM(SUM(F14:F21*$O14:$O21),SUM(W14:W21*$AF14:$AF21), SUM(F26:F33*$O26:$O33), SUM(W26:W33*$AF26:$AF33), SUM(F38:F45*$O38:$O45), SUM(W38:W45*$AF38:$AF45),SUM(F50:F56*$O50:$O56), SUM(W50:W56*$AF50:$AF56))</f>
        <v>2750</v>
      </c>
      <c r="G7" s="44" cm="1">
        <f t="array" ref="G7">SUM(SUM(G14:G21*$O14:$O21),SUM(X14:X21*$AF14:$AF21), SUM(G26:G33*$O26:$O33), SUM(X26:X33*$AF26:$AF33), SUM(G38:G45*$O38:$O45), SUM(X38:X45*$AF38:$AF45),SUM(G50:G56*$O50:$O56), SUM(X50:X56*$AF50:$AF56))</f>
        <v>40</v>
      </c>
      <c r="H7" s="44" cm="1">
        <f t="array" ref="H7">SUM(SUM(H14:H21*$O14:$O21),SUM(Y14:Y21*$AF14:$AF21), SUM(H26:H33*$O26:$O33), SUM(Y26:Y33*$AF26:$AF33), SUM(H38:H45*$O38:$O45), SUM(Y38:Y45*$AF38:$AF45),SUM(H50:H56*$O50:$O56), SUM(Y50:Y56*$AF50:$AF56))</f>
        <v>33</v>
      </c>
      <c r="I7" s="44" cm="1">
        <f t="array" ref="I7">SUM(SUM(I14:I21*$O14:$O21),SUM(Z14:Z21*$AF14:$AF21), SUM(I26:I33*$O26:$O33), SUM(Z26:Z33*$AF26:$AF33), SUM(I38:I45*$O38:$O45), SUM(Z38:Z45*$AF38:$AF45),SUM(I50:I56*$O50:$O56), SUM(Z50:Z56*$AF50:$AF56))</f>
        <v>19</v>
      </c>
      <c r="J7" s="44" cm="1">
        <f t="array" ref="J7">SUM(SUM(J14:J21*$O14:$O21),SUM(AA14:AA21*$AF14:$AF21), SUM(J26:J33*$O26:$O33), SUM(AA26:AA33*$AF26:$AF33), SUM(J38:J45*$O38:$O45), SUM(AA38:AA45*$AF38:$AF45),SUM(J50:J56*$O50:$O56), SUM(AA50:AA56*$AF50:$AF56))</f>
        <v>92</v>
      </c>
      <c r="K7" s="44" t="s">
        <v>88</v>
      </c>
      <c r="L7" s="47">
        <v>0.35</v>
      </c>
      <c r="M7" s="47">
        <f t="shared" si="0"/>
        <v>0.45833333333333331</v>
      </c>
      <c r="N7" s="2"/>
      <c r="O7" s="84"/>
      <c r="P7" s="2"/>
      <c r="Q7" s="2"/>
      <c r="R7" s="2"/>
      <c r="S7" s="2"/>
      <c r="T7" s="2"/>
      <c r="U7" s="2"/>
      <c r="V7" s="2"/>
      <c r="W7" s="2"/>
    </row>
    <row r="8" spans="1:34" x14ac:dyDescent="0.3">
      <c r="B8" s="77"/>
      <c r="C8" s="45" t="s">
        <v>113</v>
      </c>
      <c r="D8" s="46" cm="1">
        <f t="array" ref="D8">SUM(SUM(D14:D21*$P14:$P21),SUM(U14:U21*$AG14:$AG21), SUM(D26:D33*$P26:$P33), SUM(U26:U33*$AG26:$AG33), SUM(D38:D45*$P38:$P45), SUM(U38:U45*$AG38:$AG45),SUM(D50:D56*$P50:$P56), SUM(U50:U56*$AG50:$AG56))</f>
        <v>36</v>
      </c>
      <c r="E8" s="46" cm="1">
        <f t="array" ref="E8">SUM(SUM(E14:E21*$P14:$P21),SUM(V14:V21*$AG14:$AG21), SUM(E26:E33*$P26:$P33), SUM(V26:V33*$AG26:$AG33), SUM(E38:E45*$P38:$P45), SUM(V38:V45*$AG38:$AG45),SUM(E50:E56*$P50:$P56), SUM(V50:V56*$AG50:$AG56))</f>
        <v>60</v>
      </c>
      <c r="F8" s="46" cm="1">
        <f t="array" ref="F8">SUM(SUM(F14:F21*$P14:$P21),SUM(W14:W21*$AG14:$AG21), SUM(F26:F33*$P26:$P33), SUM(W26:W33*$AG26:$AG33), SUM(F38:F45*$P38:$P45), SUM(W38:W45*$AG38:$AG45),SUM(F50:F56*$P50:$P56), SUM(W50:W56*$AG50:$AG56))</f>
        <v>1500</v>
      </c>
      <c r="G8" s="46" cm="1">
        <f t="array" ref="G8">SUM(SUM(G14:G21*$P14:$P21),SUM(X14:X21*$AG14:$AG21), SUM(G26:G33*$P26:$P33), SUM(X26:X33*$AG26:$AG33), SUM(G38:G45*$P38:$P45), SUM(X38:X45*$AG38:$AG45),SUM(G50:G56*$P50:$P56), SUM(X50:X56*$AG50:$AG56))</f>
        <v>24</v>
      </c>
      <c r="H8" s="46" cm="1">
        <f t="array" ref="H8">SUM(SUM(H14:H21*$P14:$P21),SUM(Y14:Y21*$AG14:$AG21), SUM(H26:H33*$P26:$P33), SUM(Y26:Y33*$AG26:$AG33), SUM(H38:H45*$P38:$P45), SUM(Y38:Y45*$AG38:$AG45),SUM(H50:H56*$P50:$P56), SUM(Y50:Y56*$AG50:$AG56))</f>
        <v>19</v>
      </c>
      <c r="I8" s="46" cm="1">
        <f t="array" ref="I8">SUM(SUM(I14:I21*$P14:$P21),SUM(Z14:Z21*$AG14:$AG21), SUM(I26:I33*$P26:$P33), SUM(Z26:Z33*$AG26:$AG33), SUM(I38:I45*$P38:$P45), SUM(Z38:Z45*$AG38:$AG45),SUM(I50:I56*$P50:$P56), SUM(Z50:Z56*$AG50:$AG56))</f>
        <v>5</v>
      </c>
      <c r="J8" s="46" cm="1">
        <f t="array" ref="J8">SUM(SUM(J14:J21*$P14:$P21),SUM(AA14:AA21*$AG14:$AG21), SUM(J26:J33*$P26:$P33), SUM(AA26:AA33*$AG26:$AG33), SUM(J38:J45*$P38:$P45), SUM(AA38:AA45*$AG38:$AG45),SUM(J50:J56*$P50:$P56), SUM(AA50:AA56*$AG50:$AG56))</f>
        <v>48</v>
      </c>
      <c r="K8" s="73" t="s">
        <v>15</v>
      </c>
      <c r="L8" s="71">
        <v>0.3</v>
      </c>
      <c r="M8" s="71">
        <f t="shared" si="0"/>
        <v>0.25</v>
      </c>
      <c r="O8" s="260">
        <f>M4+M5+M7+M8</f>
        <v>1</v>
      </c>
    </row>
    <row r="9" spans="1:34" x14ac:dyDescent="0.3">
      <c r="B9" s="77"/>
      <c r="C9" s="67" t="s">
        <v>115</v>
      </c>
      <c r="D9" s="68" cm="1">
        <f t="array" ref="D9">SUM(SUM(D14:D21*$Q14:$Q21),SUM(U14:U21*$AH14:$AH21), SUM(D26:D33*$Q26:$Q33), SUM(U26:U33*$AH26:$AH33), SUM(D38:D45*$Q38:$Q45), SUM(U38:U45*$AH38:$AH45),SUM(D50:D56*$Q50:$Q56), SUM(U50:U56*$AH50:$AH56))</f>
        <v>24</v>
      </c>
      <c r="E9" s="68" cm="1">
        <f t="array" ref="E9">SUM(SUM(E14:E21*$Q14:$Q21),SUM(V14:V21*$AH14:$AH21), SUM(E26:E33*$Q26:$Q33), SUM(V26:V33*$AH26:$AH33), SUM(E38:E45*$Q38:$Q45), SUM(V38:V45*$AH38:$AH45),SUM(E50:E56*$Q50:$Q56), SUM(V50:V56*$AH50:$AH56))</f>
        <v>40</v>
      </c>
      <c r="F9" s="68" cm="1">
        <f t="array" ref="F9">SUM(SUM(F14:F21*$Q14:$Q21),SUM(W14:W21*$AH14:$AH21), SUM(F26:F33*$Q26:$Q33), SUM(W26:W33*$AH26:$AH33), SUM(F38:F45*$Q38:$Q45), SUM(W38:W45*$AH38:$AH45),SUM(F50:F56*$Q50:$Q56), SUM(W50:W56*$AH50:$AH56))</f>
        <v>1000</v>
      </c>
      <c r="G9" s="68" cm="1">
        <f t="array" ref="G9">SUM(SUM(G14:G21*$Q14:$Q21),SUM(X14:X21*$AH14:$AH21), SUM(G26:G33*$Q26:$Q33), SUM(X26:X33*$AH26:$AH33), SUM(G38:G45*$Q38:$Q45), SUM(X38:X45*$AH38:$AH45),SUM(G50:G56*$Q50:$Q56), SUM(X50:X56*$AH50:$AH56))</f>
        <v>17</v>
      </c>
      <c r="H9" s="68" cm="1">
        <f t="array" ref="H9">SUM(SUM(H14:H21*$Q14:$Q21),SUM(Y14:Y21*$AH14:$AH21), SUM(H26:H33*$Q26:$Q33), SUM(Y26:Y33*$AH26:$AH33), SUM(H38:H45*$Q38:$Q45), SUM(Y38:Y45*$AH38:$AH45),SUM(H50:H56*$Q50:$Q56), SUM(Y50:Y56*$AH50:$AH56))</f>
        <v>10</v>
      </c>
      <c r="I9" s="68" cm="1">
        <f t="array" ref="I9">SUM(SUM(I14:I21*$Q14:$Q21),SUM(Z14:Z21*$AH14:$AH21), SUM(I26:I33*$Q26:$Q33), SUM(Z26:Z33*$AH26:$AH33), SUM(I38:I45*$Q38:$Q45), SUM(Z38:Z45*$AH38:$AH45),SUM(I50:I56*$Q50:$Q56), SUM(Z50:Z56*$AH50:$AH56))</f>
        <v>4</v>
      </c>
      <c r="J9" s="68" cm="1">
        <f t="array" ref="J9">SUM(SUM(J14:J21*$Q14:$Q21),SUM(AA14:AA21*$AH14:$AH21), SUM(J26:J33*$Q26:$Q33), SUM(AA26:AA33*$AH26:$AH33), SUM(J38:J45*$Q38:$Q45), SUM(AA38:AA45*$AH38:$AH45),SUM(J50:J56*$Q50:$Q56), SUM(AA50:AA56*$AH50:$AH56))</f>
        <v>31</v>
      </c>
      <c r="K9" s="74" t="s">
        <v>86</v>
      </c>
      <c r="L9" s="69">
        <v>0.15</v>
      </c>
      <c r="M9" s="69">
        <f t="shared" si="0"/>
        <v>0.16666666666666666</v>
      </c>
    </row>
    <row r="10" spans="1:34" ht="15.6" customHeight="1" x14ac:dyDescent="0.3">
      <c r="C10" s="70" t="s">
        <v>92</v>
      </c>
      <c r="D10" s="41">
        <f>D22+U22+D34+U34+D46+U46+D57+U57</f>
        <v>144</v>
      </c>
      <c r="E10" s="41">
        <f>E22+V22+E34+V34+E46+V46+E57+V57</f>
        <v>240</v>
      </c>
      <c r="F10" s="41">
        <f t="shared" ref="F10:J10" si="1">F22+W22+F34+W34+F46+W46+F57+W57</f>
        <v>6000</v>
      </c>
      <c r="G10" s="41">
        <f t="shared" si="1"/>
        <v>94</v>
      </c>
      <c r="H10" s="41">
        <f t="shared" si="1"/>
        <v>70</v>
      </c>
      <c r="I10" s="41">
        <f t="shared" si="1"/>
        <v>31</v>
      </c>
      <c r="J10" s="41">
        <f t="shared" si="1"/>
        <v>195</v>
      </c>
      <c r="K10" s="42"/>
      <c r="L10" s="31"/>
      <c r="M10" s="38"/>
      <c r="N10" s="13"/>
    </row>
    <row r="12" spans="1:34" ht="14.4" customHeight="1" x14ac:dyDescent="0.3">
      <c r="A12" s="292" t="s">
        <v>16</v>
      </c>
      <c r="B12" s="290" t="s">
        <v>17</v>
      </c>
      <c r="C12" s="290" t="s">
        <v>18</v>
      </c>
      <c r="D12" s="290" t="s">
        <v>1</v>
      </c>
      <c r="E12" s="290"/>
      <c r="F12" s="290"/>
      <c r="G12" s="290" t="s">
        <v>2</v>
      </c>
      <c r="H12" s="290"/>
      <c r="I12" s="290"/>
      <c r="J12" s="290"/>
      <c r="K12" s="288" t="s">
        <v>19</v>
      </c>
      <c r="L12" s="288" t="s">
        <v>20</v>
      </c>
      <c r="M12" s="288" t="s">
        <v>21</v>
      </c>
      <c r="N12" s="289" t="s">
        <v>111</v>
      </c>
      <c r="O12" s="288" t="s">
        <v>22</v>
      </c>
      <c r="P12" s="288" t="s">
        <v>98</v>
      </c>
      <c r="Q12" s="288" t="s">
        <v>89</v>
      </c>
      <c r="R12" s="293" t="s">
        <v>23</v>
      </c>
      <c r="S12" s="290" t="s">
        <v>17</v>
      </c>
      <c r="T12" s="290" t="s">
        <v>18</v>
      </c>
      <c r="U12" s="290" t="s">
        <v>1</v>
      </c>
      <c r="V12" s="290"/>
      <c r="W12" s="290"/>
      <c r="X12" s="290" t="s">
        <v>2</v>
      </c>
      <c r="Y12" s="290"/>
      <c r="Z12" s="290"/>
      <c r="AA12" s="290"/>
      <c r="AB12" s="288" t="s">
        <v>19</v>
      </c>
      <c r="AC12" s="288" t="s">
        <v>20</v>
      </c>
      <c r="AD12" s="288" t="s">
        <v>21</v>
      </c>
      <c r="AE12" s="289" t="s">
        <v>111</v>
      </c>
      <c r="AF12" s="288" t="s">
        <v>22</v>
      </c>
      <c r="AG12" s="288" t="s">
        <v>98</v>
      </c>
      <c r="AH12" s="288" t="s">
        <v>89</v>
      </c>
    </row>
    <row r="13" spans="1:34" x14ac:dyDescent="0.3">
      <c r="A13" s="292"/>
      <c r="B13" s="290"/>
      <c r="C13" s="290"/>
      <c r="D13" s="16" t="s">
        <v>3</v>
      </c>
      <c r="E13" s="16" t="s">
        <v>4</v>
      </c>
      <c r="F13" s="16" t="s">
        <v>5</v>
      </c>
      <c r="G13" s="16" t="s">
        <v>6</v>
      </c>
      <c r="H13" s="16" t="s">
        <v>7</v>
      </c>
      <c r="I13" s="16" t="s">
        <v>8</v>
      </c>
      <c r="J13" s="16" t="s">
        <v>9</v>
      </c>
      <c r="K13" s="288"/>
      <c r="L13" s="288"/>
      <c r="M13" s="288"/>
      <c r="N13" s="289"/>
      <c r="O13" s="288"/>
      <c r="P13" s="288"/>
      <c r="Q13" s="288"/>
      <c r="R13" s="294"/>
      <c r="S13" s="290"/>
      <c r="T13" s="290"/>
      <c r="U13" s="16" t="s">
        <v>3</v>
      </c>
      <c r="V13" s="16" t="s">
        <v>4</v>
      </c>
      <c r="W13" s="16" t="s">
        <v>5</v>
      </c>
      <c r="X13" s="16" t="s">
        <v>6</v>
      </c>
      <c r="Y13" s="16" t="s">
        <v>7</v>
      </c>
      <c r="Z13" s="16" t="s">
        <v>8</v>
      </c>
      <c r="AA13" s="16" t="s">
        <v>9</v>
      </c>
      <c r="AB13" s="288"/>
      <c r="AC13" s="288"/>
      <c r="AD13" s="288"/>
      <c r="AE13" s="289"/>
      <c r="AF13" s="288"/>
      <c r="AG13" s="288"/>
      <c r="AH13" s="288"/>
    </row>
    <row r="14" spans="1:34" ht="14.4" customHeight="1" x14ac:dyDescent="0.3">
      <c r="A14" s="292"/>
      <c r="B14" s="10" t="str">
        <f>'List of Courses'!B4</f>
        <v>EGL111</v>
      </c>
      <c r="C14" s="10" t="str">
        <f>'List of Courses'!C4</f>
        <v>English I</v>
      </c>
      <c r="D14" s="10">
        <f>'List of Courses'!D4</f>
        <v>0</v>
      </c>
      <c r="E14" s="10">
        <f>'List of Courses'!E4</f>
        <v>0</v>
      </c>
      <c r="F14" s="10">
        <f>'List of Courses'!F4</f>
        <v>0</v>
      </c>
      <c r="G14" s="10">
        <f>'List of Courses'!G4</f>
        <v>0</v>
      </c>
      <c r="H14" s="10">
        <f>'List of Courses'!H4</f>
        <v>0</v>
      </c>
      <c r="I14" s="10">
        <f>'List of Courses'!I4</f>
        <v>0</v>
      </c>
      <c r="J14" s="10">
        <f>'List of Courses'!J4</f>
        <v>0</v>
      </c>
      <c r="K14" s="10" t="str">
        <f>'List of Courses'!K4</f>
        <v>--</v>
      </c>
      <c r="L14" s="10">
        <f>'List of Courses'!L4</f>
        <v>1</v>
      </c>
      <c r="M14" s="10">
        <f>'List of Courses'!M4</f>
        <v>0</v>
      </c>
      <c r="N14" s="10">
        <f>'List of Courses'!N4</f>
        <v>0</v>
      </c>
      <c r="O14" s="10">
        <f>'List of Courses'!O4</f>
        <v>0</v>
      </c>
      <c r="P14" s="10">
        <f>'List of Courses'!P4</f>
        <v>0</v>
      </c>
      <c r="Q14" s="10">
        <f>'List of Courses'!Q4</f>
        <v>0</v>
      </c>
      <c r="R14" s="294"/>
      <c r="S14" s="10" t="str">
        <f>'List of Courses'!B5</f>
        <v>EGL112</v>
      </c>
      <c r="T14" s="10" t="str">
        <f>'List of Courses'!C5</f>
        <v>English II</v>
      </c>
      <c r="U14" s="10">
        <f>'List of Courses'!D5</f>
        <v>0</v>
      </c>
      <c r="V14" s="10">
        <f>'List of Courses'!E5</f>
        <v>0</v>
      </c>
      <c r="W14" s="10">
        <f>'List of Courses'!F5</f>
        <v>0</v>
      </c>
      <c r="X14" s="10">
        <f>'List of Courses'!G5</f>
        <v>0</v>
      </c>
      <c r="Y14" s="10">
        <f>'List of Courses'!H5</f>
        <v>0</v>
      </c>
      <c r="Z14" s="10">
        <f>'List of Courses'!I5</f>
        <v>0</v>
      </c>
      <c r="AA14" s="10">
        <f>'List of Courses'!J5</f>
        <v>0</v>
      </c>
      <c r="AB14" s="10" t="str">
        <f>'List of Courses'!K5</f>
        <v>EGL111</v>
      </c>
      <c r="AC14" s="10">
        <f>'List of Courses'!L5</f>
        <v>1</v>
      </c>
      <c r="AD14" s="10">
        <f>'List of Courses'!M5</f>
        <v>0</v>
      </c>
      <c r="AE14" s="10">
        <f>'List of Courses'!N5</f>
        <v>0</v>
      </c>
      <c r="AF14" s="10">
        <f>'List of Courses'!O5</f>
        <v>0</v>
      </c>
      <c r="AG14" s="10">
        <f>'List of Courses'!P5</f>
        <v>0</v>
      </c>
      <c r="AH14" s="10">
        <f>'List of Courses'!Q5</f>
        <v>0</v>
      </c>
    </row>
    <row r="15" spans="1:34" x14ac:dyDescent="0.3">
      <c r="A15" s="292"/>
      <c r="B15" s="10" t="str">
        <f>'List of Courses'!B8</f>
        <v>CSC111</v>
      </c>
      <c r="C15" s="10" t="str">
        <f>'List of Courses'!C8</f>
        <v>Computer and Information Skills</v>
      </c>
      <c r="D15" s="10">
        <f>'List of Courses'!D8</f>
        <v>3</v>
      </c>
      <c r="E15" s="10">
        <f>'List of Courses'!E8</f>
        <v>5</v>
      </c>
      <c r="F15" s="10">
        <f>'List of Courses'!F8</f>
        <v>125</v>
      </c>
      <c r="G15" s="10">
        <f>'List of Courses'!G8</f>
        <v>1</v>
      </c>
      <c r="H15" s="10">
        <f>'List of Courses'!H8</f>
        <v>2</v>
      </c>
      <c r="I15" s="10">
        <f>'List of Courses'!I8</f>
        <v>2</v>
      </c>
      <c r="J15" s="10">
        <f>'List of Courses'!J8</f>
        <v>5</v>
      </c>
      <c r="K15" s="10" t="str">
        <f>'List of Courses'!K8</f>
        <v>--</v>
      </c>
      <c r="L15" s="10">
        <f>'List of Courses'!L8</f>
        <v>1</v>
      </c>
      <c r="M15" s="10">
        <f>'List of Courses'!M8</f>
        <v>0</v>
      </c>
      <c r="N15" s="10">
        <f>'List of Courses'!N8</f>
        <v>0</v>
      </c>
      <c r="O15" s="10">
        <f>'List of Courses'!O8</f>
        <v>0</v>
      </c>
      <c r="P15" s="10">
        <f>'List of Courses'!P8</f>
        <v>0</v>
      </c>
      <c r="Q15" s="10">
        <f>'List of Courses'!Q8</f>
        <v>0</v>
      </c>
      <c r="R15" s="294"/>
      <c r="S15" s="10" t="str">
        <f>'List of Courses'!B9</f>
        <v>HUM E1</v>
      </c>
      <c r="T15" s="10" t="str">
        <f>'List of Courses'!C9</f>
        <v>Humanities and Social Sciences Electives</v>
      </c>
      <c r="U15" s="10">
        <f>'List of Courses'!D9</f>
        <v>3</v>
      </c>
      <c r="V15" s="10">
        <f>'List of Courses'!E9</f>
        <v>5</v>
      </c>
      <c r="W15" s="10">
        <f>'List of Courses'!F9</f>
        <v>125</v>
      </c>
      <c r="X15" s="10">
        <f>'List of Courses'!G9</f>
        <v>3</v>
      </c>
      <c r="Y15" s="10">
        <f>'List of Courses'!H9</f>
        <v>0</v>
      </c>
      <c r="Z15" s="10">
        <f>'List of Courses'!I9</f>
        <v>0</v>
      </c>
      <c r="AA15" s="10">
        <f>'List of Courses'!J9</f>
        <v>3</v>
      </c>
      <c r="AB15" s="10" t="str">
        <f>'List of Courses'!K9</f>
        <v>--</v>
      </c>
      <c r="AC15" s="10">
        <f>'List of Courses'!L9</f>
        <v>1</v>
      </c>
      <c r="AD15" s="10">
        <f>'List of Courses'!M9</f>
        <v>0</v>
      </c>
      <c r="AE15" s="10">
        <f>'List of Courses'!N9</f>
        <v>0</v>
      </c>
      <c r="AF15" s="10">
        <f>'List of Courses'!O9</f>
        <v>0</v>
      </c>
      <c r="AG15" s="10">
        <f>'List of Courses'!P9</f>
        <v>0</v>
      </c>
      <c r="AH15" s="57">
        <f>'List of Courses'!Q9</f>
        <v>1</v>
      </c>
    </row>
    <row r="16" spans="1:34" x14ac:dyDescent="0.3">
      <c r="A16" s="292"/>
      <c r="B16" s="34" t="str">
        <f>'List of Courses'!B10</f>
        <v>MTH111</v>
      </c>
      <c r="C16" s="34" t="str">
        <f>'List of Courses'!C10</f>
        <v>Analytical Geometry and Calculus I</v>
      </c>
      <c r="D16" s="34">
        <f>'List of Courses'!D10</f>
        <v>3</v>
      </c>
      <c r="E16" s="34">
        <f>'List of Courses'!E10</f>
        <v>5</v>
      </c>
      <c r="F16" s="34">
        <f>'List of Courses'!F10</f>
        <v>125</v>
      </c>
      <c r="G16" s="34">
        <f>'List of Courses'!G10</f>
        <v>2</v>
      </c>
      <c r="H16" s="34">
        <f>'List of Courses'!H10</f>
        <v>2</v>
      </c>
      <c r="I16" s="34">
        <f>'List of Courses'!I10</f>
        <v>0</v>
      </c>
      <c r="J16" s="34">
        <f>'List of Courses'!J10</f>
        <v>4</v>
      </c>
      <c r="K16" s="34" t="str">
        <f>'List of Courses'!K10</f>
        <v>--</v>
      </c>
      <c r="L16" s="34">
        <f>'List of Courses'!L10</f>
        <v>0</v>
      </c>
      <c r="M16" s="34">
        <f>'List of Courses'!M10</f>
        <v>1</v>
      </c>
      <c r="N16" s="4">
        <f>'List of Courses'!N10</f>
        <v>1</v>
      </c>
      <c r="O16" s="34">
        <f>'List of Courses'!O10</f>
        <v>0</v>
      </c>
      <c r="P16" s="34">
        <f>'List of Courses'!P10</f>
        <v>0</v>
      </c>
      <c r="Q16" s="34">
        <f>'List of Courses'!Q10</f>
        <v>0</v>
      </c>
      <c r="R16" s="294"/>
      <c r="S16" s="53" t="str">
        <f>'List of Courses'!B11</f>
        <v>MTH112</v>
      </c>
      <c r="T16" s="53" t="str">
        <f>'List of Courses'!C11</f>
        <v>Calculus II</v>
      </c>
      <c r="U16" s="53">
        <f>'List of Courses'!D11</f>
        <v>3</v>
      </c>
      <c r="V16" s="53">
        <f>'List of Courses'!E11</f>
        <v>5</v>
      </c>
      <c r="W16" s="53">
        <f>'List of Courses'!F11</f>
        <v>125</v>
      </c>
      <c r="X16" s="53">
        <f>'List of Courses'!G11</f>
        <v>2</v>
      </c>
      <c r="Y16" s="53">
        <f>'List of Courses'!H11</f>
        <v>2</v>
      </c>
      <c r="Z16" s="53">
        <f>'List of Courses'!I11</f>
        <v>0</v>
      </c>
      <c r="AA16" s="53">
        <f>'List of Courses'!J11</f>
        <v>4</v>
      </c>
      <c r="AB16" s="53" t="str">
        <f>'List of Courses'!K11</f>
        <v>MTH111 (CO)</v>
      </c>
      <c r="AC16" s="53">
        <f>'List of Courses'!L11</f>
        <v>0</v>
      </c>
      <c r="AD16" s="53">
        <f>'List of Courses'!M11</f>
        <v>0</v>
      </c>
      <c r="AE16" s="4">
        <f>'List of Courses'!N11</f>
        <v>1</v>
      </c>
      <c r="AF16" s="53">
        <f>'List of Courses'!O11</f>
        <v>1</v>
      </c>
      <c r="AG16" s="53">
        <f>'List of Courses'!P11</f>
        <v>0</v>
      </c>
      <c r="AH16" s="53">
        <f>'List of Courses'!Q11</f>
        <v>0</v>
      </c>
    </row>
    <row r="17" spans="1:34" x14ac:dyDescent="0.3">
      <c r="A17" s="292"/>
      <c r="B17" s="34" t="str">
        <f>'List of Courses'!B20</f>
        <v>PHY111</v>
      </c>
      <c r="C17" s="34" t="str">
        <f>'List of Courses'!C20</f>
        <v>Physics I</v>
      </c>
      <c r="D17" s="34">
        <f>'List of Courses'!D20</f>
        <v>3</v>
      </c>
      <c r="E17" s="34">
        <f>'List of Courses'!E20</f>
        <v>5</v>
      </c>
      <c r="F17" s="34">
        <f>'List of Courses'!F20</f>
        <v>125</v>
      </c>
      <c r="G17" s="34">
        <f>'List of Courses'!G20</f>
        <v>2</v>
      </c>
      <c r="H17" s="34">
        <f>'List of Courses'!H20</f>
        <v>2</v>
      </c>
      <c r="I17" s="34">
        <f>'List of Courses'!I20</f>
        <v>1</v>
      </c>
      <c r="J17" s="34">
        <f>'List of Courses'!J20</f>
        <v>5</v>
      </c>
      <c r="K17" s="34" t="str">
        <f>'List of Courses'!K20</f>
        <v>--</v>
      </c>
      <c r="L17" s="34">
        <f>'List of Courses'!L20</f>
        <v>0</v>
      </c>
      <c r="M17" s="34">
        <f>'List of Courses'!M20</f>
        <v>1</v>
      </c>
      <c r="N17" s="4">
        <f>'List of Courses'!N20</f>
        <v>1</v>
      </c>
      <c r="O17" s="34">
        <f>'List of Courses'!O20</f>
        <v>0</v>
      </c>
      <c r="P17" s="34">
        <f>'List of Courses'!P20</f>
        <v>0</v>
      </c>
      <c r="Q17" s="34">
        <f>'List of Courses'!Q20</f>
        <v>0</v>
      </c>
      <c r="R17" s="294"/>
      <c r="S17" s="34" t="str">
        <f>'List of Courses'!B12</f>
        <v>MTH113</v>
      </c>
      <c r="T17" s="34" t="str">
        <f>'List of Courses'!C12</f>
        <v>Probability and Statistics</v>
      </c>
      <c r="U17" s="34">
        <f>'List of Courses'!D12</f>
        <v>3</v>
      </c>
      <c r="V17" s="34">
        <f>'List of Courses'!E12</f>
        <v>5</v>
      </c>
      <c r="W17" s="34">
        <f>'List of Courses'!F12</f>
        <v>125</v>
      </c>
      <c r="X17" s="34">
        <f>'List of Courses'!G12</f>
        <v>2</v>
      </c>
      <c r="Y17" s="34">
        <f>'List of Courses'!H12</f>
        <v>2</v>
      </c>
      <c r="Z17" s="34">
        <f>'List of Courses'!I12</f>
        <v>0</v>
      </c>
      <c r="AA17" s="34">
        <f>'List of Courses'!J12</f>
        <v>4</v>
      </c>
      <c r="AB17" s="34" t="str">
        <f>'List of Courses'!K12</f>
        <v>--</v>
      </c>
      <c r="AC17" s="34">
        <f>'List of Courses'!L12</f>
        <v>0</v>
      </c>
      <c r="AD17" s="34">
        <f>'List of Courses'!M12</f>
        <v>1</v>
      </c>
      <c r="AE17" s="4">
        <f>'List of Courses'!N12</f>
        <v>1</v>
      </c>
      <c r="AF17" s="34">
        <f>'List of Courses'!O12</f>
        <v>0</v>
      </c>
      <c r="AG17" s="34">
        <f>'List of Courses'!P12</f>
        <v>0</v>
      </c>
      <c r="AH17" s="34">
        <f>'List of Courses'!Q12</f>
        <v>0</v>
      </c>
    </row>
    <row r="18" spans="1:34" x14ac:dyDescent="0.3">
      <c r="A18" s="292"/>
      <c r="B18" s="34" t="str">
        <f>'List of Courses'!B23</f>
        <v>MEC111</v>
      </c>
      <c r="C18" s="34" t="str">
        <f>'List of Courses'!C23</f>
        <v>Engineering Mechanics I - Statics</v>
      </c>
      <c r="D18" s="34">
        <f>'List of Courses'!D23</f>
        <v>3</v>
      </c>
      <c r="E18" s="34">
        <f>'List of Courses'!E23</f>
        <v>5</v>
      </c>
      <c r="F18" s="34">
        <f>'List of Courses'!F23</f>
        <v>125</v>
      </c>
      <c r="G18" s="34">
        <f>'List of Courses'!G23</f>
        <v>2</v>
      </c>
      <c r="H18" s="34">
        <f>'List of Courses'!H23</f>
        <v>2</v>
      </c>
      <c r="I18" s="34">
        <f>'List of Courses'!I23</f>
        <v>0</v>
      </c>
      <c r="J18" s="34">
        <f>'List of Courses'!J23</f>
        <v>4</v>
      </c>
      <c r="K18" s="34" t="str">
        <f>'List of Courses'!K23</f>
        <v>--</v>
      </c>
      <c r="L18" s="34">
        <f>'List of Courses'!L23</f>
        <v>0</v>
      </c>
      <c r="M18" s="34">
        <f>'List of Courses'!M23</f>
        <v>1</v>
      </c>
      <c r="N18" s="4">
        <f>'List of Courses'!N23</f>
        <v>1</v>
      </c>
      <c r="O18" s="34">
        <f>'List of Courses'!O23</f>
        <v>0</v>
      </c>
      <c r="P18" s="34">
        <f>'List of Courses'!P23</f>
        <v>0</v>
      </c>
      <c r="Q18" s="34">
        <f>'List of Courses'!Q23</f>
        <v>0</v>
      </c>
      <c r="R18" s="294"/>
      <c r="S18" s="53" t="str">
        <f>'List of Courses'!B22</f>
        <v>CHM111</v>
      </c>
      <c r="T18" s="53" t="str">
        <f>'List of Courses'!C22</f>
        <v>Chemistry Principles</v>
      </c>
      <c r="U18" s="53">
        <f>'List of Courses'!D22</f>
        <v>3</v>
      </c>
      <c r="V18" s="53">
        <f>'List of Courses'!E22</f>
        <v>5</v>
      </c>
      <c r="W18" s="53">
        <f>'List of Courses'!F22</f>
        <v>125</v>
      </c>
      <c r="X18" s="53">
        <f>'List of Courses'!G22</f>
        <v>2</v>
      </c>
      <c r="Y18" s="53">
        <f>'List of Courses'!H22</f>
        <v>1</v>
      </c>
      <c r="Z18" s="53">
        <f>'List of Courses'!I22</f>
        <v>1</v>
      </c>
      <c r="AA18" s="53">
        <f>'List of Courses'!J22</f>
        <v>4</v>
      </c>
      <c r="AB18" s="53" t="str">
        <f>'List of Courses'!K22</f>
        <v>--</v>
      </c>
      <c r="AC18" s="53">
        <f>'List of Courses'!L22</f>
        <v>0</v>
      </c>
      <c r="AD18" s="53">
        <f>'List of Courses'!M22</f>
        <v>0</v>
      </c>
      <c r="AE18" s="4">
        <f>'List of Courses'!N22</f>
        <v>1</v>
      </c>
      <c r="AF18" s="53">
        <f>'List of Courses'!O22</f>
        <v>1</v>
      </c>
      <c r="AG18" s="53">
        <f>'List of Courses'!P22</f>
        <v>0</v>
      </c>
      <c r="AH18" s="53">
        <f>'List of Courses'!Q22</f>
        <v>0</v>
      </c>
    </row>
    <row r="19" spans="1:34" x14ac:dyDescent="0.3">
      <c r="A19" s="292"/>
      <c r="B19" s="34" t="str">
        <f>'List of Courses'!B25</f>
        <v>INT121</v>
      </c>
      <c r="C19" s="34" t="str">
        <f>'List of Courses'!C25</f>
        <v>Engineering Drawing</v>
      </c>
      <c r="D19" s="34">
        <f>'List of Courses'!D25</f>
        <v>3</v>
      </c>
      <c r="E19" s="34">
        <f>'List of Courses'!E25</f>
        <v>5</v>
      </c>
      <c r="F19" s="34">
        <f>'List of Courses'!F25</f>
        <v>125</v>
      </c>
      <c r="G19" s="34">
        <f>'List of Courses'!G25</f>
        <v>2</v>
      </c>
      <c r="H19" s="34">
        <f>'List of Courses'!H25</f>
        <v>0</v>
      </c>
      <c r="I19" s="34">
        <f>'List of Courses'!I25</f>
        <v>2</v>
      </c>
      <c r="J19" s="34">
        <f>'List of Courses'!J25</f>
        <v>4</v>
      </c>
      <c r="K19" s="34" t="str">
        <f>'List of Courses'!K25</f>
        <v>--</v>
      </c>
      <c r="L19" s="34">
        <f>'List of Courses'!L25</f>
        <v>0</v>
      </c>
      <c r="M19" s="34">
        <f>'List of Courses'!M25</f>
        <v>1</v>
      </c>
      <c r="N19" s="34">
        <f>'List of Courses'!N25</f>
        <v>0</v>
      </c>
      <c r="O19" s="34">
        <f>'List of Courses'!O25</f>
        <v>0</v>
      </c>
      <c r="P19" s="34">
        <f>'List of Courses'!P25</f>
        <v>0</v>
      </c>
      <c r="Q19" s="34">
        <f>'List of Courses'!Q25</f>
        <v>0</v>
      </c>
      <c r="R19" s="294"/>
      <c r="S19" s="34" t="str">
        <f>'List of Courses'!B29</f>
        <v>ECE151</v>
      </c>
      <c r="T19" s="34" t="str">
        <f>'List of Courses'!C29</f>
        <v xml:space="preserve">Introduction to Programming </v>
      </c>
      <c r="U19" s="34">
        <f>'List of Courses'!D29</f>
        <v>3</v>
      </c>
      <c r="V19" s="34">
        <f>'List of Courses'!E29</f>
        <v>5</v>
      </c>
      <c r="W19" s="34">
        <f>'List of Courses'!F29</f>
        <v>125</v>
      </c>
      <c r="X19" s="34">
        <f>'List of Courses'!G29</f>
        <v>2</v>
      </c>
      <c r="Y19" s="34">
        <f>'List of Courses'!H29</f>
        <v>0</v>
      </c>
      <c r="Z19" s="34">
        <f>'List of Courses'!I29</f>
        <v>2</v>
      </c>
      <c r="AA19" s="34">
        <f>'List of Courses'!J29</f>
        <v>4</v>
      </c>
      <c r="AB19" s="34" t="str">
        <f>'List of Courses'!K29</f>
        <v>--</v>
      </c>
      <c r="AC19" s="34">
        <f>'List of Courses'!L29</f>
        <v>0</v>
      </c>
      <c r="AD19" s="34">
        <f>'List of Courses'!M29</f>
        <v>1</v>
      </c>
      <c r="AE19" s="34">
        <f>'List of Courses'!N29</f>
        <v>0</v>
      </c>
      <c r="AF19" s="34">
        <f>'List of Courses'!O29</f>
        <v>0</v>
      </c>
      <c r="AG19" s="34">
        <f>'List of Courses'!P29</f>
        <v>0</v>
      </c>
      <c r="AH19" s="34">
        <f>'List of Courses'!Q29</f>
        <v>0</v>
      </c>
    </row>
    <row r="20" spans="1:34" x14ac:dyDescent="0.3">
      <c r="A20" s="292"/>
      <c r="B20" s="34" t="str">
        <f>'List of Courses'!B26</f>
        <v>INT E1</v>
      </c>
      <c r="C20" s="34" t="str">
        <f>'List of Courses'!C26</f>
        <v>Engineering History Electives</v>
      </c>
      <c r="D20" s="34">
        <f>'List of Courses'!D26</f>
        <v>3</v>
      </c>
      <c r="E20" s="34">
        <f>'List of Courses'!E26</f>
        <v>5</v>
      </c>
      <c r="F20" s="34">
        <f>'List of Courses'!F26</f>
        <v>125</v>
      </c>
      <c r="G20" s="34">
        <f>'List of Courses'!G26</f>
        <v>2</v>
      </c>
      <c r="H20" s="34">
        <f>'List of Courses'!H26</f>
        <v>2</v>
      </c>
      <c r="I20" s="34">
        <f>'List of Courses'!I26</f>
        <v>0</v>
      </c>
      <c r="J20" s="34">
        <f>'List of Courses'!J26</f>
        <v>4</v>
      </c>
      <c r="K20" s="34" t="str">
        <f>'List of Courses'!K26</f>
        <v>--</v>
      </c>
      <c r="L20" s="34">
        <f>'List of Courses'!L26</f>
        <v>0</v>
      </c>
      <c r="M20" s="34">
        <f>'List of Courses'!M26</f>
        <v>1</v>
      </c>
      <c r="N20" s="34">
        <f>'List of Courses'!N26</f>
        <v>0</v>
      </c>
      <c r="O20" s="34">
        <f>'List of Courses'!O26</f>
        <v>0</v>
      </c>
      <c r="P20" s="34">
        <f>'List of Courses'!P26</f>
        <v>0</v>
      </c>
      <c r="Q20" s="57">
        <f>'List of Courses'!Q26</f>
        <v>1</v>
      </c>
      <c r="R20" s="294"/>
      <c r="S20" s="53" t="str">
        <f>'List of Courses'!B30</f>
        <v>CVL211</v>
      </c>
      <c r="T20" s="53" t="str">
        <f>'List of Courses'!C30</f>
        <v>Structural Analysis-1</v>
      </c>
      <c r="U20" s="53">
        <f>'List of Courses'!D30</f>
        <v>3</v>
      </c>
      <c r="V20" s="53">
        <f>'List of Courses'!E30</f>
        <v>5</v>
      </c>
      <c r="W20" s="53">
        <f>'List of Courses'!F30</f>
        <v>125</v>
      </c>
      <c r="X20" s="53">
        <f>'List of Courses'!G30</f>
        <v>2</v>
      </c>
      <c r="Y20" s="53">
        <f>'List of Courses'!H30</f>
        <v>2</v>
      </c>
      <c r="Z20" s="53">
        <f>'List of Courses'!I30</f>
        <v>0</v>
      </c>
      <c r="AA20" s="53">
        <f>'List of Courses'!J30</f>
        <v>4</v>
      </c>
      <c r="AB20" s="53" t="str">
        <f>'List of Courses'!K30</f>
        <v>MEC111</v>
      </c>
      <c r="AC20" s="53">
        <f>'List of Courses'!L30</f>
        <v>0</v>
      </c>
      <c r="AD20" s="53">
        <f>'List of Courses'!M30</f>
        <v>0</v>
      </c>
      <c r="AE20" s="53">
        <f>'List of Courses'!N30</f>
        <v>0</v>
      </c>
      <c r="AF20" s="53">
        <f>'List of Courses'!O30</f>
        <v>1</v>
      </c>
      <c r="AG20" s="53">
        <f>'List of Courses'!P30</f>
        <v>0</v>
      </c>
      <c r="AH20" s="53">
        <f>'List of Courses'!Q30</f>
        <v>0</v>
      </c>
    </row>
    <row r="21" spans="1:34" x14ac:dyDescent="0.3">
      <c r="A21" s="292"/>
      <c r="B21" s="34"/>
      <c r="C21" s="34"/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295"/>
      <c r="S21" s="53" t="str">
        <f>'List of Courses'!B33</f>
        <v>CVL231</v>
      </c>
      <c r="T21" s="53" t="str">
        <f>'List of Courses'!C33</f>
        <v>Construction Project Management</v>
      </c>
      <c r="U21" s="53">
        <f>'List of Courses'!D33</f>
        <v>3</v>
      </c>
      <c r="V21" s="53">
        <f>'List of Courses'!E33</f>
        <v>5</v>
      </c>
      <c r="W21" s="53">
        <f>'List of Courses'!F33</f>
        <v>125</v>
      </c>
      <c r="X21" s="53">
        <f>'List of Courses'!G33</f>
        <v>2</v>
      </c>
      <c r="Y21" s="53">
        <f>'List of Courses'!H33</f>
        <v>2</v>
      </c>
      <c r="Z21" s="53">
        <f>'List of Courses'!I33</f>
        <v>0</v>
      </c>
      <c r="AA21" s="53">
        <f>'List of Courses'!J33</f>
        <v>4</v>
      </c>
      <c r="AB21" s="53" t="str">
        <f>'List of Courses'!K33</f>
        <v>--</v>
      </c>
      <c r="AC21" s="53">
        <f>'List of Courses'!L33</f>
        <v>0</v>
      </c>
      <c r="AD21" s="53">
        <f>'List of Courses'!M33</f>
        <v>0</v>
      </c>
      <c r="AE21" s="53">
        <f>'List of Courses'!N33</f>
        <v>0</v>
      </c>
      <c r="AF21" s="53">
        <f>'List of Courses'!O33</f>
        <v>1</v>
      </c>
      <c r="AG21" s="53">
        <f>'List of Courses'!P33</f>
        <v>0</v>
      </c>
      <c r="AH21" s="53">
        <f>'List of Courses'!Q33</f>
        <v>0</v>
      </c>
    </row>
    <row r="22" spans="1:34" x14ac:dyDescent="0.3">
      <c r="D22" s="41">
        <f t="shared" ref="D22:I22" si="2">SUM(D14:D21)</f>
        <v>18</v>
      </c>
      <c r="E22" s="41">
        <f>SUM(E14:E21)</f>
        <v>30</v>
      </c>
      <c r="F22" s="41">
        <f t="shared" si="2"/>
        <v>750</v>
      </c>
      <c r="G22" s="41">
        <f t="shared" si="2"/>
        <v>11</v>
      </c>
      <c r="H22" s="41">
        <f t="shared" si="2"/>
        <v>10</v>
      </c>
      <c r="I22" s="41">
        <f t="shared" si="2"/>
        <v>5</v>
      </c>
      <c r="J22" s="41">
        <f>SUM(J14:J21)</f>
        <v>26</v>
      </c>
      <c r="U22" s="41">
        <f t="shared" ref="U22:AA22" si="3">SUM(U14:U21)</f>
        <v>21</v>
      </c>
      <c r="V22" s="41">
        <f t="shared" si="3"/>
        <v>35</v>
      </c>
      <c r="W22" s="41">
        <f t="shared" si="3"/>
        <v>875</v>
      </c>
      <c r="X22" s="41">
        <f t="shared" si="3"/>
        <v>15</v>
      </c>
      <c r="Y22" s="41">
        <f t="shared" si="3"/>
        <v>9</v>
      </c>
      <c r="Z22" s="41">
        <f t="shared" si="3"/>
        <v>3</v>
      </c>
      <c r="AA22" s="41">
        <f t="shared" si="3"/>
        <v>27</v>
      </c>
    </row>
    <row r="23" spans="1:34" ht="14.4" customHeight="1" x14ac:dyDescent="0.3">
      <c r="L23" s="1"/>
      <c r="M23" s="1"/>
      <c r="N23" s="1"/>
      <c r="O23" s="1"/>
      <c r="P23" s="1"/>
      <c r="Q23" s="1"/>
    </row>
    <row r="24" spans="1:34" ht="14.4" customHeight="1" x14ac:dyDescent="0.3">
      <c r="A24" s="292" t="s">
        <v>33</v>
      </c>
      <c r="B24" s="290" t="s">
        <v>17</v>
      </c>
      <c r="C24" s="290" t="s">
        <v>18</v>
      </c>
      <c r="D24" s="290" t="s">
        <v>1</v>
      </c>
      <c r="E24" s="290"/>
      <c r="F24" s="290"/>
      <c r="G24" s="290" t="s">
        <v>2</v>
      </c>
      <c r="H24" s="290"/>
      <c r="I24" s="290"/>
      <c r="J24" s="290"/>
      <c r="K24" s="288" t="s">
        <v>19</v>
      </c>
      <c r="L24" s="288" t="s">
        <v>20</v>
      </c>
      <c r="M24" s="288" t="s">
        <v>21</v>
      </c>
      <c r="N24" s="289" t="s">
        <v>111</v>
      </c>
      <c r="O24" s="288" t="s">
        <v>22</v>
      </c>
      <c r="P24" s="288" t="s">
        <v>98</v>
      </c>
      <c r="Q24" s="288" t="s">
        <v>89</v>
      </c>
      <c r="R24" s="293" t="s">
        <v>34</v>
      </c>
      <c r="S24" s="290" t="s">
        <v>17</v>
      </c>
      <c r="T24" s="290" t="s">
        <v>18</v>
      </c>
      <c r="U24" s="290" t="s">
        <v>1</v>
      </c>
      <c r="V24" s="290"/>
      <c r="W24" s="290"/>
      <c r="X24" s="290" t="s">
        <v>2</v>
      </c>
      <c r="Y24" s="290"/>
      <c r="Z24" s="290"/>
      <c r="AA24" s="290"/>
      <c r="AB24" s="288" t="s">
        <v>19</v>
      </c>
      <c r="AC24" s="288" t="s">
        <v>20</v>
      </c>
      <c r="AD24" s="288" t="s">
        <v>21</v>
      </c>
      <c r="AE24" s="289" t="s">
        <v>111</v>
      </c>
      <c r="AF24" s="288" t="s">
        <v>22</v>
      </c>
      <c r="AG24" s="288" t="s">
        <v>98</v>
      </c>
      <c r="AH24" s="288" t="s">
        <v>89</v>
      </c>
    </row>
    <row r="25" spans="1:34" x14ac:dyDescent="0.3">
      <c r="A25" s="292"/>
      <c r="B25" s="290"/>
      <c r="C25" s="290"/>
      <c r="D25" s="16" t="s">
        <v>3</v>
      </c>
      <c r="E25" s="16" t="s">
        <v>4</v>
      </c>
      <c r="F25" s="16" t="s">
        <v>5</v>
      </c>
      <c r="G25" s="16" t="s">
        <v>6</v>
      </c>
      <c r="H25" s="16" t="s">
        <v>7</v>
      </c>
      <c r="I25" s="16" t="s">
        <v>8</v>
      </c>
      <c r="J25" s="16" t="s">
        <v>9</v>
      </c>
      <c r="K25" s="288"/>
      <c r="L25" s="288"/>
      <c r="M25" s="288"/>
      <c r="N25" s="289"/>
      <c r="O25" s="288"/>
      <c r="P25" s="288"/>
      <c r="Q25" s="288"/>
      <c r="R25" s="294"/>
      <c r="S25" s="290"/>
      <c r="T25" s="290"/>
      <c r="U25" s="16" t="s">
        <v>3</v>
      </c>
      <c r="V25" s="16" t="s">
        <v>4</v>
      </c>
      <c r="W25" s="16" t="s">
        <v>5</v>
      </c>
      <c r="X25" s="16" t="s">
        <v>6</v>
      </c>
      <c r="Y25" s="16" t="s">
        <v>7</v>
      </c>
      <c r="Z25" s="16" t="s">
        <v>8</v>
      </c>
      <c r="AA25" s="16" t="s">
        <v>9</v>
      </c>
      <c r="AB25" s="288"/>
      <c r="AC25" s="288"/>
      <c r="AD25" s="288"/>
      <c r="AE25" s="289"/>
      <c r="AF25" s="288"/>
      <c r="AG25" s="288"/>
      <c r="AH25" s="288"/>
    </row>
    <row r="26" spans="1:34" ht="14.4" customHeight="1" x14ac:dyDescent="0.3">
      <c r="A26" s="292"/>
      <c r="B26" s="10" t="str">
        <f>'List of Courses'!B6</f>
        <v>EGL213</v>
      </c>
      <c r="C26" s="10" t="str">
        <f>'List of Courses'!C6</f>
        <v>Writing Skills</v>
      </c>
      <c r="D26" s="10">
        <f>'List of Courses'!D6</f>
        <v>3</v>
      </c>
      <c r="E26" s="10">
        <f>'List of Courses'!E6</f>
        <v>5</v>
      </c>
      <c r="F26" s="10">
        <f>'List of Courses'!F6</f>
        <v>125</v>
      </c>
      <c r="G26" s="10">
        <f>'List of Courses'!G6</f>
        <v>3</v>
      </c>
      <c r="H26" s="10">
        <f>'List of Courses'!H6</f>
        <v>0</v>
      </c>
      <c r="I26" s="10">
        <f>'List of Courses'!I6</f>
        <v>0</v>
      </c>
      <c r="J26" s="10">
        <f>'List of Courses'!J6</f>
        <v>3</v>
      </c>
      <c r="K26" s="10" t="str">
        <f>'List of Courses'!K6</f>
        <v>EGL112</v>
      </c>
      <c r="L26" s="10">
        <f>'List of Courses'!L6</f>
        <v>1</v>
      </c>
      <c r="M26" s="10">
        <f>'List of Courses'!M6</f>
        <v>0</v>
      </c>
      <c r="N26" s="10">
        <f>'List of Courses'!N6</f>
        <v>0</v>
      </c>
      <c r="O26" s="10">
        <f>'List of Courses'!O6</f>
        <v>0</v>
      </c>
      <c r="P26" s="10">
        <f>'List of Courses'!P6</f>
        <v>0</v>
      </c>
      <c r="Q26" s="10">
        <f>'List of Courses'!Q6</f>
        <v>0</v>
      </c>
      <c r="R26" s="294"/>
      <c r="S26" s="10" t="str">
        <f>'List of Courses'!B7</f>
        <v>EGL214</v>
      </c>
      <c r="T26" s="10" t="str">
        <f>'List of Courses'!C7</f>
        <v>Communication and Presentation Skills</v>
      </c>
      <c r="U26" s="10">
        <f>'List of Courses'!D7</f>
        <v>3</v>
      </c>
      <c r="V26" s="10">
        <f>'List of Courses'!E7</f>
        <v>5</v>
      </c>
      <c r="W26" s="10">
        <f>'List of Courses'!F7</f>
        <v>125</v>
      </c>
      <c r="X26" s="10">
        <f>'List of Courses'!G7</f>
        <v>3</v>
      </c>
      <c r="Y26" s="10">
        <f>'List of Courses'!H7</f>
        <v>0</v>
      </c>
      <c r="Z26" s="10">
        <f>'List of Courses'!I7</f>
        <v>0</v>
      </c>
      <c r="AA26" s="10">
        <f>'List of Courses'!J7</f>
        <v>3</v>
      </c>
      <c r="AB26" s="10" t="str">
        <f>'List of Courses'!K7</f>
        <v>EGL112</v>
      </c>
      <c r="AC26" s="10">
        <f>'List of Courses'!L7</f>
        <v>1</v>
      </c>
      <c r="AD26" s="10">
        <f>'List of Courses'!M7</f>
        <v>0</v>
      </c>
      <c r="AE26" s="10">
        <f>'List of Courses'!N7</f>
        <v>0</v>
      </c>
      <c r="AF26" s="10">
        <f>'List of Courses'!O7</f>
        <v>0</v>
      </c>
      <c r="AG26" s="10">
        <f>'List of Courses'!P7</f>
        <v>0</v>
      </c>
      <c r="AH26" s="10">
        <f>'List of Courses'!Q7</f>
        <v>0</v>
      </c>
    </row>
    <row r="27" spans="1:34" x14ac:dyDescent="0.3">
      <c r="A27" s="292"/>
      <c r="B27" s="34" t="str">
        <f>'List of Courses'!B13</f>
        <v>MTH214</v>
      </c>
      <c r="C27" s="34" t="str">
        <f>'List of Courses'!C13</f>
        <v xml:space="preserve">Linear Algebra &amp; Introduction to Machine Learning </v>
      </c>
      <c r="D27" s="34">
        <f>'List of Courses'!D13</f>
        <v>3</v>
      </c>
      <c r="E27" s="34">
        <f>'List of Courses'!E13</f>
        <v>5</v>
      </c>
      <c r="F27" s="34">
        <f>'List of Courses'!F13</f>
        <v>125</v>
      </c>
      <c r="G27" s="34">
        <f>'List of Courses'!G13</f>
        <v>2</v>
      </c>
      <c r="H27" s="34">
        <f>'List of Courses'!H13</f>
        <v>2</v>
      </c>
      <c r="I27" s="34">
        <f>'List of Courses'!I13</f>
        <v>0</v>
      </c>
      <c r="J27" s="34">
        <f>'List of Courses'!J13</f>
        <v>4</v>
      </c>
      <c r="K27" s="34" t="str">
        <f>'List of Courses'!K13</f>
        <v>--</v>
      </c>
      <c r="L27" s="34">
        <f>'List of Courses'!L13</f>
        <v>0</v>
      </c>
      <c r="M27" s="34">
        <f>'List of Courses'!M13</f>
        <v>1</v>
      </c>
      <c r="N27" s="4">
        <f>'List of Courses'!N13</f>
        <v>1</v>
      </c>
      <c r="O27" s="34">
        <f>'List of Courses'!O13</f>
        <v>0</v>
      </c>
      <c r="P27" s="34">
        <f>'List of Courses'!P13</f>
        <v>0</v>
      </c>
      <c r="Q27" s="34">
        <f>'List of Courses'!Q13</f>
        <v>0</v>
      </c>
      <c r="R27" s="294"/>
      <c r="S27" s="53" t="str">
        <f>'List of Courses'!B14</f>
        <v>MTH215</v>
      </c>
      <c r="T27" s="53" t="str">
        <f>'List of Courses'!C14</f>
        <v>Differential Equations</v>
      </c>
      <c r="U27" s="53">
        <f>'List of Courses'!D14</f>
        <v>3</v>
      </c>
      <c r="V27" s="53">
        <f>'List of Courses'!E14</f>
        <v>5</v>
      </c>
      <c r="W27" s="53">
        <f>'List of Courses'!F14</f>
        <v>125</v>
      </c>
      <c r="X27" s="53">
        <f>'List of Courses'!G14</f>
        <v>2</v>
      </c>
      <c r="Y27" s="53">
        <f>'List of Courses'!H14</f>
        <v>2</v>
      </c>
      <c r="Z27" s="53">
        <f>'List of Courses'!I14</f>
        <v>0</v>
      </c>
      <c r="AA27" s="53">
        <f>'List of Courses'!J14</f>
        <v>4</v>
      </c>
      <c r="AB27" s="53" t="str">
        <f>'List of Courses'!K14</f>
        <v>MTH112</v>
      </c>
      <c r="AC27" s="53">
        <f>'List of Courses'!L14</f>
        <v>0</v>
      </c>
      <c r="AD27" s="53">
        <f>'List of Courses'!M14</f>
        <v>0</v>
      </c>
      <c r="AE27" s="4">
        <f>'List of Courses'!N14</f>
        <v>1</v>
      </c>
      <c r="AF27" s="53">
        <f>'List of Courses'!O14</f>
        <v>1</v>
      </c>
      <c r="AG27" s="53">
        <f>'List of Courses'!P14</f>
        <v>0</v>
      </c>
      <c r="AH27" s="53">
        <f>'List of Courses'!Q14</f>
        <v>0</v>
      </c>
    </row>
    <row r="28" spans="1:34" x14ac:dyDescent="0.3">
      <c r="A28" s="292"/>
      <c r="B28" s="53" t="str">
        <f>'List of Courses'!B34</f>
        <v>CVL281</v>
      </c>
      <c r="C28" s="53" t="str">
        <f>'List of Courses'!C34</f>
        <v xml:space="preserve">Introduction to Surveying </v>
      </c>
      <c r="D28" s="53">
        <f>'List of Courses'!D34</f>
        <v>3</v>
      </c>
      <c r="E28" s="53">
        <f>'List of Courses'!E34</f>
        <v>5</v>
      </c>
      <c r="F28" s="53">
        <f>'List of Courses'!F34</f>
        <v>125</v>
      </c>
      <c r="G28" s="53">
        <f>'List of Courses'!G34</f>
        <v>1</v>
      </c>
      <c r="H28" s="53">
        <f>'List of Courses'!H34</f>
        <v>2</v>
      </c>
      <c r="I28" s="53">
        <f>'List of Courses'!I34</f>
        <v>2</v>
      </c>
      <c r="J28" s="53">
        <f>'List of Courses'!J34</f>
        <v>5</v>
      </c>
      <c r="K28" s="53" t="str">
        <f>'List of Courses'!K34</f>
        <v>--</v>
      </c>
      <c r="L28" s="53">
        <f>'List of Courses'!L34</f>
        <v>0</v>
      </c>
      <c r="M28" s="53">
        <f>'List of Courses'!M34</f>
        <v>0</v>
      </c>
      <c r="N28" s="53">
        <f>'List of Courses'!N34</f>
        <v>0</v>
      </c>
      <c r="O28" s="53">
        <f>'List of Courses'!O34</f>
        <v>1</v>
      </c>
      <c r="P28" s="53">
        <f>'List of Courses'!P34</f>
        <v>0</v>
      </c>
      <c r="Q28" s="53">
        <f>'List of Courses'!Q34</f>
        <v>0</v>
      </c>
      <c r="R28" s="294"/>
      <c r="S28" s="53" t="str">
        <f>'List of Courses'!B36</f>
        <v>CVL311</v>
      </c>
      <c r="T28" s="53" t="str">
        <f>'List of Courses'!C36</f>
        <v>Reinforced Concrete Design-1</v>
      </c>
      <c r="U28" s="53">
        <f>'List of Courses'!D36</f>
        <v>3</v>
      </c>
      <c r="V28" s="53">
        <f>'List of Courses'!E36</f>
        <v>5</v>
      </c>
      <c r="W28" s="53">
        <f>'List of Courses'!F36</f>
        <v>125</v>
      </c>
      <c r="X28" s="53">
        <f>'List of Courses'!G36</f>
        <v>2</v>
      </c>
      <c r="Y28" s="53">
        <f>'List of Courses'!H36</f>
        <v>2</v>
      </c>
      <c r="Z28" s="53">
        <f>'List of Courses'!I36</f>
        <v>0</v>
      </c>
      <c r="AA28" s="53">
        <f>'List of Courses'!J36</f>
        <v>4</v>
      </c>
      <c r="AB28" s="53" t="str">
        <f>'List of Courses'!K36</f>
        <v>CVL211</v>
      </c>
      <c r="AC28" s="53">
        <f>'List of Courses'!L36</f>
        <v>0</v>
      </c>
      <c r="AD28" s="53">
        <f>'List of Courses'!M36</f>
        <v>0</v>
      </c>
      <c r="AE28" s="53">
        <f>'List of Courses'!N36</f>
        <v>0</v>
      </c>
      <c r="AF28" s="53">
        <f>'List of Courses'!O36</f>
        <v>1</v>
      </c>
      <c r="AG28" s="53">
        <f>'List of Courses'!P36</f>
        <v>0</v>
      </c>
      <c r="AH28" s="53">
        <f>'List of Courses'!Q36</f>
        <v>0</v>
      </c>
    </row>
    <row r="29" spans="1:34" ht="15" customHeight="1" x14ac:dyDescent="0.3">
      <c r="A29" s="292"/>
      <c r="B29" s="53" t="str">
        <f>'List of Courses'!B35</f>
        <v>CVL282</v>
      </c>
      <c r="C29" s="53" t="str">
        <f>'List of Courses'!C35</f>
        <v xml:space="preserve">Civil Engineering Drafting </v>
      </c>
      <c r="D29" s="53">
        <f>'List of Courses'!D35</f>
        <v>3</v>
      </c>
      <c r="E29" s="53">
        <f>'List of Courses'!E35</f>
        <v>5</v>
      </c>
      <c r="F29" s="53">
        <f>'List of Courses'!F35</f>
        <v>125</v>
      </c>
      <c r="G29" s="53">
        <f>'List of Courses'!G35</f>
        <v>1</v>
      </c>
      <c r="H29" s="53">
        <f>'List of Courses'!H35</f>
        <v>2</v>
      </c>
      <c r="I29" s="53">
        <f>'List of Courses'!I35</f>
        <v>2</v>
      </c>
      <c r="J29" s="53">
        <f>'List of Courses'!J35</f>
        <v>5</v>
      </c>
      <c r="K29" s="53" t="str">
        <f>'List of Courses'!K35</f>
        <v>INT121</v>
      </c>
      <c r="L29" s="53">
        <f>'List of Courses'!L35</f>
        <v>0</v>
      </c>
      <c r="M29" s="53">
        <f>'List of Courses'!M35</f>
        <v>0</v>
      </c>
      <c r="N29" s="53">
        <f>'List of Courses'!N35</f>
        <v>0</v>
      </c>
      <c r="O29" s="53">
        <f>'List of Courses'!O35</f>
        <v>1</v>
      </c>
      <c r="P29" s="53">
        <f>'List of Courses'!P35</f>
        <v>0</v>
      </c>
      <c r="Q29" s="53">
        <f>'List of Courses'!Q35</f>
        <v>0</v>
      </c>
      <c r="R29" s="294"/>
      <c r="S29" s="53" t="str">
        <f>'List of Courses'!B40</f>
        <v>CVL315</v>
      </c>
      <c r="T29" s="53" t="str">
        <f>'List of Courses'!C40</f>
        <v>Structural Steel Design</v>
      </c>
      <c r="U29" s="53">
        <f>'List of Courses'!D40</f>
        <v>3</v>
      </c>
      <c r="V29" s="53">
        <f>'List of Courses'!E40</f>
        <v>5</v>
      </c>
      <c r="W29" s="53">
        <f>'List of Courses'!F40</f>
        <v>125</v>
      </c>
      <c r="X29" s="53">
        <f>'List of Courses'!G40</f>
        <v>2</v>
      </c>
      <c r="Y29" s="53">
        <f>'List of Courses'!H40</f>
        <v>2</v>
      </c>
      <c r="Z29" s="53">
        <f>'List of Courses'!I40</f>
        <v>0</v>
      </c>
      <c r="AA29" s="53">
        <f>'List of Courses'!J40</f>
        <v>4</v>
      </c>
      <c r="AB29" s="53" t="str">
        <f>'List of Courses'!K40</f>
        <v>CVL212</v>
      </c>
      <c r="AC29" s="53">
        <f>'List of Courses'!L40</f>
        <v>0</v>
      </c>
      <c r="AD29" s="53">
        <f>'List of Courses'!M40</f>
        <v>0</v>
      </c>
      <c r="AE29" s="53">
        <f>'List of Courses'!N40</f>
        <v>0</v>
      </c>
      <c r="AF29" s="53">
        <f>'List of Courses'!O40</f>
        <v>1</v>
      </c>
      <c r="AG29" s="53">
        <f>'List of Courses'!P40</f>
        <v>0</v>
      </c>
      <c r="AH29" s="53">
        <f>'List of Courses'!Q40</f>
        <v>0</v>
      </c>
    </row>
    <row r="30" spans="1:34" x14ac:dyDescent="0.3">
      <c r="A30" s="292"/>
      <c r="B30" s="53" t="str">
        <f>'List of Courses'!B31</f>
        <v>CVL212</v>
      </c>
      <c r="C30" s="53" t="str">
        <f>'List of Courses'!C31</f>
        <v>Structural Analysis-2</v>
      </c>
      <c r="D30" s="53">
        <f>'List of Courses'!D31</f>
        <v>3</v>
      </c>
      <c r="E30" s="53">
        <f>'List of Courses'!E31</f>
        <v>5</v>
      </c>
      <c r="F30" s="53">
        <f>'List of Courses'!F31</f>
        <v>125</v>
      </c>
      <c r="G30" s="53">
        <f>'List of Courses'!G31</f>
        <v>2</v>
      </c>
      <c r="H30" s="53">
        <f>'List of Courses'!H31</f>
        <v>2</v>
      </c>
      <c r="I30" s="53">
        <f>'List of Courses'!I31</f>
        <v>0</v>
      </c>
      <c r="J30" s="53">
        <f>'List of Courses'!J31</f>
        <v>4</v>
      </c>
      <c r="K30" s="53" t="str">
        <f>'List of Courses'!K31</f>
        <v>CVL211</v>
      </c>
      <c r="L30" s="53">
        <f>'List of Courses'!L31</f>
        <v>0</v>
      </c>
      <c r="M30" s="53">
        <f>'List of Courses'!M31</f>
        <v>0</v>
      </c>
      <c r="N30" s="53">
        <f>'List of Courses'!N31</f>
        <v>0</v>
      </c>
      <c r="O30" s="53">
        <f>'List of Courses'!O31</f>
        <v>1</v>
      </c>
      <c r="P30" s="53">
        <f>'List of Courses'!P31</f>
        <v>0</v>
      </c>
      <c r="Q30" s="53">
        <f>'List of Courses'!Q31</f>
        <v>0</v>
      </c>
      <c r="R30" s="294"/>
      <c r="S30" s="53" t="str">
        <f>'List of Courses'!B41</f>
        <v>CVL321</v>
      </c>
      <c r="T30" s="53" t="str">
        <f>'List of Courses'!C41</f>
        <v>Engineering Materials-2</v>
      </c>
      <c r="U30" s="53">
        <f>'List of Courses'!D41</f>
        <v>3</v>
      </c>
      <c r="V30" s="53">
        <f>'List of Courses'!E41</f>
        <v>5</v>
      </c>
      <c r="W30" s="53">
        <f>'List of Courses'!F41</f>
        <v>125</v>
      </c>
      <c r="X30" s="53">
        <f>'List of Courses'!G41</f>
        <v>2</v>
      </c>
      <c r="Y30" s="53">
        <f>'List of Courses'!H41</f>
        <v>1</v>
      </c>
      <c r="Z30" s="53">
        <f>'List of Courses'!I41</f>
        <v>1</v>
      </c>
      <c r="AA30" s="53">
        <f>'List of Courses'!J41</f>
        <v>4</v>
      </c>
      <c r="AB30" s="53" t="str">
        <f>'List of Courses'!K41</f>
        <v>CVL221</v>
      </c>
      <c r="AC30" s="53">
        <f>'List of Courses'!L41</f>
        <v>0</v>
      </c>
      <c r="AD30" s="53">
        <f>'List of Courses'!M41</f>
        <v>0</v>
      </c>
      <c r="AE30" s="53">
        <f>'List of Courses'!N41</f>
        <v>0</v>
      </c>
      <c r="AF30" s="53">
        <f>'List of Courses'!O41</f>
        <v>1</v>
      </c>
      <c r="AG30" s="53">
        <f>'List of Courses'!P41</f>
        <v>0</v>
      </c>
      <c r="AH30" s="53">
        <f>'List of Courses'!Q41</f>
        <v>0</v>
      </c>
    </row>
    <row r="31" spans="1:34" x14ac:dyDescent="0.3">
      <c r="A31" s="292"/>
      <c r="B31" s="53" t="str">
        <f>'List of Courses'!B32</f>
        <v>CVL221</v>
      </c>
      <c r="C31" s="53" t="str">
        <f>'List of Courses'!C32</f>
        <v>Engineering Materials-1</v>
      </c>
      <c r="D31" s="53">
        <f>'List of Courses'!D32</f>
        <v>3</v>
      </c>
      <c r="E31" s="53">
        <f>'List of Courses'!E32</f>
        <v>5</v>
      </c>
      <c r="F31" s="53">
        <f>'List of Courses'!F32</f>
        <v>125</v>
      </c>
      <c r="G31" s="53">
        <f>'List of Courses'!G32</f>
        <v>2</v>
      </c>
      <c r="H31" s="53">
        <f>'List of Courses'!H32</f>
        <v>1</v>
      </c>
      <c r="I31" s="53">
        <f>'List of Courses'!I32</f>
        <v>1</v>
      </c>
      <c r="J31" s="53">
        <f>'List of Courses'!J32</f>
        <v>4</v>
      </c>
      <c r="K31" s="53" t="str">
        <f>'List of Courses'!K32</f>
        <v>--</v>
      </c>
      <c r="L31" s="53">
        <f>'List of Courses'!L32</f>
        <v>0</v>
      </c>
      <c r="M31" s="53">
        <f>'List of Courses'!M32</f>
        <v>0</v>
      </c>
      <c r="N31" s="53">
        <f>'List of Courses'!N32</f>
        <v>0</v>
      </c>
      <c r="O31" s="53">
        <f>'List of Courses'!O32</f>
        <v>1</v>
      </c>
      <c r="P31" s="53">
        <f>'List of Courses'!P32</f>
        <v>0</v>
      </c>
      <c r="Q31" s="53">
        <f>'List of Courses'!Q32</f>
        <v>0</v>
      </c>
      <c r="R31" s="294"/>
      <c r="S31" s="53" t="str">
        <f>'List of Courses'!B42</f>
        <v>CVL331</v>
      </c>
      <c r="T31" s="53" t="str">
        <f>'List of Courses'!C42</f>
        <v>Construction Engineering &amp; Methods</v>
      </c>
      <c r="U31" s="53">
        <f>'List of Courses'!D42</f>
        <v>3</v>
      </c>
      <c r="V31" s="53">
        <f>'List of Courses'!E42</f>
        <v>5</v>
      </c>
      <c r="W31" s="53">
        <f>'List of Courses'!F42</f>
        <v>125</v>
      </c>
      <c r="X31" s="53">
        <f>'List of Courses'!G42</f>
        <v>2</v>
      </c>
      <c r="Y31" s="53">
        <f>'List of Courses'!H42</f>
        <v>2</v>
      </c>
      <c r="Z31" s="53">
        <f>'List of Courses'!I42</f>
        <v>0</v>
      </c>
      <c r="AA31" s="53">
        <f>'List of Courses'!J42</f>
        <v>4</v>
      </c>
      <c r="AB31" s="53" t="str">
        <f>'List of Courses'!K42</f>
        <v>--</v>
      </c>
      <c r="AC31" s="53">
        <f>'List of Courses'!L42</f>
        <v>0</v>
      </c>
      <c r="AD31" s="53">
        <f>'List of Courses'!M42</f>
        <v>0</v>
      </c>
      <c r="AE31" s="53">
        <f>'List of Courses'!N42</f>
        <v>0</v>
      </c>
      <c r="AF31" s="53">
        <f>'List of Courses'!O42</f>
        <v>1</v>
      </c>
      <c r="AG31" s="53">
        <f>'List of Courses'!P42</f>
        <v>0</v>
      </c>
      <c r="AH31" s="53">
        <f>'List of Courses'!Q42</f>
        <v>0</v>
      </c>
    </row>
    <row r="32" spans="1:34" x14ac:dyDescent="0.3">
      <c r="A32" s="292"/>
      <c r="B32" s="56" t="str">
        <f>'List of Courses'!B43</f>
        <v>CVL332</v>
      </c>
      <c r="C32" s="56" t="str">
        <f>'List of Courses'!C43</f>
        <v>Quantity Surveying, Estimation and Specifications</v>
      </c>
      <c r="D32" s="56">
        <f>'List of Courses'!D43</f>
        <v>3</v>
      </c>
      <c r="E32" s="56">
        <f>'List of Courses'!E43</f>
        <v>5</v>
      </c>
      <c r="F32" s="56">
        <f>'List of Courses'!F43</f>
        <v>125</v>
      </c>
      <c r="G32" s="56">
        <f>'List of Courses'!G43</f>
        <v>2</v>
      </c>
      <c r="H32" s="56">
        <f>'List of Courses'!H43</f>
        <v>2</v>
      </c>
      <c r="I32" s="56">
        <f>'List of Courses'!I43</f>
        <v>0</v>
      </c>
      <c r="J32" s="56">
        <f>'List of Courses'!J43</f>
        <v>4</v>
      </c>
      <c r="K32" s="56" t="str">
        <f>'List of Courses'!K43</f>
        <v>CVL231</v>
      </c>
      <c r="L32" s="56">
        <f>'List of Courses'!L43</f>
        <v>0</v>
      </c>
      <c r="M32" s="56">
        <f>'List of Courses'!M43</f>
        <v>0</v>
      </c>
      <c r="N32" s="56">
        <f>'List of Courses'!N43</f>
        <v>0</v>
      </c>
      <c r="O32" s="56">
        <f>'List of Courses'!O43</f>
        <v>0</v>
      </c>
      <c r="P32" s="56">
        <f>'List of Courses'!P43</f>
        <v>1</v>
      </c>
      <c r="Q32" s="56">
        <f>'List of Courses'!Q43</f>
        <v>0</v>
      </c>
      <c r="R32" s="294"/>
      <c r="S32" s="56" t="str">
        <f>'List of Courses'!B47</f>
        <v>CVL361</v>
      </c>
      <c r="T32" s="56" t="str">
        <f>'List of Courses'!C47</f>
        <v>Python for Structural Programming</v>
      </c>
      <c r="U32" s="56">
        <f>'List of Courses'!D47</f>
        <v>3</v>
      </c>
      <c r="V32" s="56">
        <f>'List of Courses'!E47</f>
        <v>5</v>
      </c>
      <c r="W32" s="56">
        <f>'List of Courses'!F47</f>
        <v>125</v>
      </c>
      <c r="X32" s="56">
        <f>'List of Courses'!G47</f>
        <v>2</v>
      </c>
      <c r="Y32" s="56">
        <f>'List of Courses'!H47</f>
        <v>1</v>
      </c>
      <c r="Z32" s="56">
        <f>'List of Courses'!I47</f>
        <v>1</v>
      </c>
      <c r="AA32" s="56">
        <f>'List of Courses'!J47</f>
        <v>4</v>
      </c>
      <c r="AB32" s="56" t="str">
        <f>'List of Courses'!K47</f>
        <v>ECE151</v>
      </c>
      <c r="AC32" s="56">
        <f>'List of Courses'!L47</f>
        <v>0</v>
      </c>
      <c r="AD32" s="56">
        <f>'List of Courses'!M47</f>
        <v>0</v>
      </c>
      <c r="AE32" s="56">
        <f>'List of Courses'!N47</f>
        <v>0</v>
      </c>
      <c r="AF32" s="56">
        <f>'List of Courses'!O47</f>
        <v>0</v>
      </c>
      <c r="AG32" s="56">
        <f>'List of Courses'!P47</f>
        <v>1</v>
      </c>
      <c r="AH32" s="56">
        <f>'List of Courses'!Q47</f>
        <v>0</v>
      </c>
    </row>
    <row r="33" spans="1:34" x14ac:dyDescent="0.3">
      <c r="A33" s="292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295"/>
      <c r="S33" s="53" t="str">
        <f>'List of Courses'!B49</f>
        <v>CVL391</v>
      </c>
      <c r="T33" s="53" t="str">
        <f>'List of Courses'!C49</f>
        <v>Practical Training-1</v>
      </c>
      <c r="U33" s="53">
        <f>'List of Courses'!D49</f>
        <v>0</v>
      </c>
      <c r="V33" s="53">
        <f>'List of Courses'!E49</f>
        <v>0</v>
      </c>
      <c r="W33" s="53">
        <f>'List of Courses'!F49</f>
        <v>0</v>
      </c>
      <c r="X33" s="53">
        <f>'List of Courses'!G49</f>
        <v>0</v>
      </c>
      <c r="Y33" s="53">
        <f>'List of Courses'!H49</f>
        <v>0</v>
      </c>
      <c r="Z33" s="53">
        <f>'List of Courses'!I49</f>
        <v>0</v>
      </c>
      <c r="AA33" s="53">
        <f>'List of Courses'!J49</f>
        <v>0</v>
      </c>
      <c r="AB33" s="53" t="str">
        <f>'List of Courses'!K49</f>
        <v>--</v>
      </c>
      <c r="AC33" s="53">
        <f>'List of Courses'!L49</f>
        <v>0</v>
      </c>
      <c r="AD33" s="53">
        <f>'List of Courses'!M49</f>
        <v>0</v>
      </c>
      <c r="AE33" s="53">
        <f>'List of Courses'!N49</f>
        <v>0</v>
      </c>
      <c r="AF33" s="53">
        <f>'List of Courses'!O49</f>
        <v>1</v>
      </c>
      <c r="AG33" s="53">
        <f>'List of Courses'!P49</f>
        <v>0</v>
      </c>
      <c r="AH33" s="53">
        <f>'List of Courses'!Q49</f>
        <v>0</v>
      </c>
    </row>
    <row r="34" spans="1:34" x14ac:dyDescent="0.3">
      <c r="D34" s="41">
        <f>SUM(D26:D33)</f>
        <v>21</v>
      </c>
      <c r="E34" s="41">
        <f>SUM(E26:E33)</f>
        <v>35</v>
      </c>
      <c r="F34" s="41">
        <f t="shared" ref="F34:I34" si="4">SUM(F26:F33)</f>
        <v>875</v>
      </c>
      <c r="G34" s="92">
        <f t="shared" si="4"/>
        <v>13</v>
      </c>
      <c r="H34" s="92">
        <f t="shared" si="4"/>
        <v>11</v>
      </c>
      <c r="I34" s="92">
        <f t="shared" si="4"/>
        <v>5</v>
      </c>
      <c r="J34" s="41">
        <f>SUM(J26:J33)</f>
        <v>29</v>
      </c>
      <c r="L34" s="6"/>
      <c r="M34" s="6"/>
      <c r="N34" s="6"/>
      <c r="O34" s="6"/>
      <c r="P34" s="6"/>
      <c r="Q34" s="6"/>
      <c r="U34" s="41">
        <f t="shared" ref="U34:AA34" si="5">SUM(U26:U33)</f>
        <v>21</v>
      </c>
      <c r="V34" s="41">
        <f t="shared" si="5"/>
        <v>35</v>
      </c>
      <c r="W34" s="41">
        <f t="shared" si="5"/>
        <v>875</v>
      </c>
      <c r="X34" s="41">
        <f t="shared" si="5"/>
        <v>15</v>
      </c>
      <c r="Y34" s="41">
        <f t="shared" si="5"/>
        <v>10</v>
      </c>
      <c r="Z34" s="41">
        <f t="shared" si="5"/>
        <v>2</v>
      </c>
      <c r="AA34" s="41">
        <f t="shared" si="5"/>
        <v>27</v>
      </c>
      <c r="AC34" s="1"/>
      <c r="AD34" s="1"/>
      <c r="AE34" s="1"/>
      <c r="AF34" s="1"/>
      <c r="AG34" s="1"/>
    </row>
    <row r="35" spans="1:34" x14ac:dyDescent="0.3">
      <c r="L35" s="1"/>
      <c r="M35" s="1"/>
      <c r="N35" s="1"/>
      <c r="O35" s="1"/>
      <c r="P35" s="1"/>
      <c r="Q35" s="1"/>
    </row>
    <row r="36" spans="1:34" ht="14.4" customHeight="1" x14ac:dyDescent="0.3">
      <c r="A36" s="292" t="s">
        <v>47</v>
      </c>
      <c r="B36" s="290" t="s">
        <v>17</v>
      </c>
      <c r="C36" s="290" t="s">
        <v>18</v>
      </c>
      <c r="D36" s="290" t="s">
        <v>1</v>
      </c>
      <c r="E36" s="290"/>
      <c r="F36" s="290"/>
      <c r="G36" s="290" t="s">
        <v>2</v>
      </c>
      <c r="H36" s="290"/>
      <c r="I36" s="290"/>
      <c r="J36" s="290"/>
      <c r="K36" s="288" t="s">
        <v>19</v>
      </c>
      <c r="L36" s="288" t="s">
        <v>20</v>
      </c>
      <c r="M36" s="288" t="s">
        <v>21</v>
      </c>
      <c r="N36" s="289" t="s">
        <v>111</v>
      </c>
      <c r="O36" s="288" t="s">
        <v>22</v>
      </c>
      <c r="P36" s="288" t="s">
        <v>98</v>
      </c>
      <c r="Q36" s="288" t="s">
        <v>89</v>
      </c>
      <c r="R36" s="293" t="s">
        <v>48</v>
      </c>
      <c r="S36" s="290" t="s">
        <v>17</v>
      </c>
      <c r="T36" s="290" t="s">
        <v>18</v>
      </c>
      <c r="U36" s="290" t="s">
        <v>1</v>
      </c>
      <c r="V36" s="290"/>
      <c r="W36" s="290"/>
      <c r="X36" s="290" t="s">
        <v>2</v>
      </c>
      <c r="Y36" s="290"/>
      <c r="Z36" s="290"/>
      <c r="AA36" s="290"/>
      <c r="AB36" s="288" t="s">
        <v>19</v>
      </c>
      <c r="AC36" s="288" t="s">
        <v>20</v>
      </c>
      <c r="AD36" s="288" t="s">
        <v>21</v>
      </c>
      <c r="AE36" s="289" t="s">
        <v>111</v>
      </c>
      <c r="AF36" s="288" t="s">
        <v>22</v>
      </c>
      <c r="AG36" s="288" t="s">
        <v>98</v>
      </c>
      <c r="AH36" s="288" t="s">
        <v>89</v>
      </c>
    </row>
    <row r="37" spans="1:34" x14ac:dyDescent="0.3">
      <c r="A37" s="292"/>
      <c r="B37" s="290"/>
      <c r="C37" s="290"/>
      <c r="D37" s="16" t="s">
        <v>3</v>
      </c>
      <c r="E37" s="16" t="s">
        <v>4</v>
      </c>
      <c r="F37" s="16" t="s">
        <v>5</v>
      </c>
      <c r="G37" s="16" t="s">
        <v>6</v>
      </c>
      <c r="H37" s="16" t="s">
        <v>7</v>
      </c>
      <c r="I37" s="16" t="s">
        <v>8</v>
      </c>
      <c r="J37" s="16" t="s">
        <v>9</v>
      </c>
      <c r="K37" s="288"/>
      <c r="L37" s="288"/>
      <c r="M37" s="288"/>
      <c r="N37" s="289"/>
      <c r="O37" s="288"/>
      <c r="P37" s="288"/>
      <c r="Q37" s="288"/>
      <c r="R37" s="294"/>
      <c r="S37" s="290"/>
      <c r="T37" s="290"/>
      <c r="U37" s="16" t="s">
        <v>3</v>
      </c>
      <c r="V37" s="16" t="s">
        <v>4</v>
      </c>
      <c r="W37" s="16" t="s">
        <v>5</v>
      </c>
      <c r="X37" s="16" t="s">
        <v>6</v>
      </c>
      <c r="Y37" s="16" t="s">
        <v>7</v>
      </c>
      <c r="Z37" s="16" t="s">
        <v>8</v>
      </c>
      <c r="AA37" s="16" t="s">
        <v>9</v>
      </c>
      <c r="AB37" s="288"/>
      <c r="AC37" s="288"/>
      <c r="AD37" s="288"/>
      <c r="AE37" s="289"/>
      <c r="AF37" s="288"/>
      <c r="AG37" s="288"/>
      <c r="AH37" s="288"/>
    </row>
    <row r="38" spans="1:34" ht="14.4" customHeight="1" x14ac:dyDescent="0.3">
      <c r="A38" s="292"/>
      <c r="B38" s="53" t="str">
        <f>'List of Courses'!B15</f>
        <v>MTH216</v>
      </c>
      <c r="C38" s="53" t="str">
        <f>'List of Courses'!C15</f>
        <v>Numerical Methods</v>
      </c>
      <c r="D38" s="53">
        <f>'List of Courses'!D15</f>
        <v>3</v>
      </c>
      <c r="E38" s="53">
        <f>'List of Courses'!E15</f>
        <v>5</v>
      </c>
      <c r="F38" s="53">
        <f>'List of Courses'!F15</f>
        <v>125</v>
      </c>
      <c r="G38" s="53">
        <f>'List of Courses'!G15</f>
        <v>2</v>
      </c>
      <c r="H38" s="53">
        <f>'List of Courses'!H15</f>
        <v>2</v>
      </c>
      <c r="I38" s="53">
        <f>'List of Courses'!I15</f>
        <v>0</v>
      </c>
      <c r="J38" s="53">
        <f>'List of Courses'!J15</f>
        <v>4</v>
      </c>
      <c r="K38" s="53" t="str">
        <f>'List of Courses'!K15</f>
        <v>MTH214 &amp; MTH215</v>
      </c>
      <c r="L38" s="53">
        <f>'List of Courses'!L15</f>
        <v>0</v>
      </c>
      <c r="M38" s="53">
        <f>'List of Courses'!M15</f>
        <v>0</v>
      </c>
      <c r="N38" s="4">
        <f>'List of Courses'!N15</f>
        <v>1</v>
      </c>
      <c r="O38" s="53">
        <f>'List of Courses'!O15</f>
        <v>1</v>
      </c>
      <c r="P38" s="53">
        <f>'List of Courses'!P15</f>
        <v>0</v>
      </c>
      <c r="Q38" s="53">
        <f>'List of Courses'!Q15</f>
        <v>0</v>
      </c>
      <c r="R38" s="294"/>
      <c r="S38" s="53" t="str">
        <f>'List of Courses'!B50</f>
        <v>CVL392</v>
      </c>
      <c r="T38" s="53" t="str">
        <f>'List of Courses'!C50</f>
        <v>Practical Training-2</v>
      </c>
      <c r="U38" s="53">
        <f>'List of Courses'!D50</f>
        <v>0</v>
      </c>
      <c r="V38" s="53">
        <f>'List of Courses'!E50</f>
        <v>0</v>
      </c>
      <c r="W38" s="53">
        <f>'List of Courses'!F50</f>
        <v>0</v>
      </c>
      <c r="X38" s="53">
        <f>'List of Courses'!G50</f>
        <v>0</v>
      </c>
      <c r="Y38" s="53">
        <f>'List of Courses'!H50</f>
        <v>0</v>
      </c>
      <c r="Z38" s="53">
        <f>'List of Courses'!I50</f>
        <v>0</v>
      </c>
      <c r="AA38" s="53">
        <f>'List of Courses'!J50</f>
        <v>0</v>
      </c>
      <c r="AB38" s="53" t="str">
        <f>'List of Courses'!K50</f>
        <v>CVL391 (CO)</v>
      </c>
      <c r="AC38" s="53">
        <f>'List of Courses'!L50</f>
        <v>0</v>
      </c>
      <c r="AD38" s="53">
        <f>'List of Courses'!M50</f>
        <v>0</v>
      </c>
      <c r="AE38" s="53">
        <f>'List of Courses'!N50</f>
        <v>0</v>
      </c>
      <c r="AF38" s="53">
        <f>'List of Courses'!O50</f>
        <v>1</v>
      </c>
      <c r="AG38" s="53">
        <f>'List of Courses'!P50</f>
        <v>0</v>
      </c>
      <c r="AH38" s="53">
        <f>'List of Courses'!Q50</f>
        <v>0</v>
      </c>
    </row>
    <row r="39" spans="1:34" x14ac:dyDescent="0.3">
      <c r="A39" s="292"/>
      <c r="B39" s="53" t="str">
        <f>'List of Courses'!B37</f>
        <v>CVL312</v>
      </c>
      <c r="C39" s="53" t="str">
        <f>'List of Courses'!C37</f>
        <v>Soil Mechanics</v>
      </c>
      <c r="D39" s="53">
        <f>'List of Courses'!D37</f>
        <v>3</v>
      </c>
      <c r="E39" s="53">
        <f>'List of Courses'!E37</f>
        <v>5</v>
      </c>
      <c r="F39" s="53">
        <f>'List of Courses'!F37</f>
        <v>125</v>
      </c>
      <c r="G39" s="53">
        <f>'List of Courses'!G37</f>
        <v>2</v>
      </c>
      <c r="H39" s="53">
        <f>'List of Courses'!H37</f>
        <v>1</v>
      </c>
      <c r="I39" s="53">
        <f>'List of Courses'!I37</f>
        <v>1</v>
      </c>
      <c r="J39" s="53">
        <f>'List of Courses'!J37</f>
        <v>4</v>
      </c>
      <c r="K39" s="53" t="str">
        <f>'List of Courses'!K37</f>
        <v>CVL221</v>
      </c>
      <c r="L39" s="53">
        <f>'List of Courses'!L37</f>
        <v>0</v>
      </c>
      <c r="M39" s="53">
        <f>'List of Courses'!M37</f>
        <v>0</v>
      </c>
      <c r="N39" s="53">
        <f>'List of Courses'!N37</f>
        <v>0</v>
      </c>
      <c r="O39" s="53">
        <f>'List of Courses'!O37</f>
        <v>1</v>
      </c>
      <c r="P39" s="53">
        <f>'List of Courses'!P37</f>
        <v>0</v>
      </c>
      <c r="Q39" s="53">
        <f>'List of Courses'!Q37</f>
        <v>0</v>
      </c>
      <c r="R39" s="294"/>
      <c r="S39" s="53" t="str">
        <f>'List of Courses'!B51</f>
        <v>CVL411</v>
      </c>
      <c r="T39" s="53" t="str">
        <f>'List of Courses'!C51</f>
        <v>Design &amp; Construction of Foundations</v>
      </c>
      <c r="U39" s="53">
        <f>'List of Courses'!D51</f>
        <v>3</v>
      </c>
      <c r="V39" s="53">
        <f>'List of Courses'!E51</f>
        <v>5</v>
      </c>
      <c r="W39" s="53">
        <f>'List of Courses'!F51</f>
        <v>125</v>
      </c>
      <c r="X39" s="53">
        <f>'List of Courses'!G51</f>
        <v>2</v>
      </c>
      <c r="Y39" s="53">
        <f>'List of Courses'!H51</f>
        <v>2</v>
      </c>
      <c r="Z39" s="53">
        <f>'List of Courses'!I51</f>
        <v>0</v>
      </c>
      <c r="AA39" s="53">
        <f>'List of Courses'!J51</f>
        <v>4</v>
      </c>
      <c r="AB39" s="53" t="str">
        <f>'List of Courses'!K51</f>
        <v>CVL312</v>
      </c>
      <c r="AC39" s="53">
        <f>'List of Courses'!L51</f>
        <v>0</v>
      </c>
      <c r="AD39" s="53">
        <f>'List of Courses'!M51</f>
        <v>0</v>
      </c>
      <c r="AE39" s="53">
        <f>'List of Courses'!N51</f>
        <v>0</v>
      </c>
      <c r="AF39" s="53">
        <f>'List of Courses'!O51</f>
        <v>1</v>
      </c>
      <c r="AG39" s="53">
        <f>'List of Courses'!P51</f>
        <v>0</v>
      </c>
      <c r="AH39" s="53">
        <f>'List of Courses'!Q51</f>
        <v>0</v>
      </c>
    </row>
    <row r="40" spans="1:34" x14ac:dyDescent="0.3">
      <c r="A40" s="292"/>
      <c r="B40" s="56" t="str">
        <f>'List of Courses'!B38</f>
        <v>CVL313</v>
      </c>
      <c r="C40" s="56" t="str">
        <f>'List of Courses'!C38</f>
        <v>Structure Analysis-3</v>
      </c>
      <c r="D40" s="56">
        <f>'List of Courses'!D38</f>
        <v>3</v>
      </c>
      <c r="E40" s="56">
        <f>'List of Courses'!E38</f>
        <v>5</v>
      </c>
      <c r="F40" s="56">
        <f>'List of Courses'!F38</f>
        <v>125</v>
      </c>
      <c r="G40" s="56">
        <f>'List of Courses'!G38</f>
        <v>2</v>
      </c>
      <c r="H40" s="56">
        <f>'List of Courses'!H38</f>
        <v>2</v>
      </c>
      <c r="I40" s="56">
        <f>'List of Courses'!I38</f>
        <v>0</v>
      </c>
      <c r="J40" s="56">
        <f>'List of Courses'!J38</f>
        <v>4</v>
      </c>
      <c r="K40" s="56" t="str">
        <f>'List of Courses'!K38</f>
        <v>CVL212</v>
      </c>
      <c r="L40" s="56">
        <f>'List of Courses'!L38</f>
        <v>0</v>
      </c>
      <c r="M40" s="56">
        <f>'List of Courses'!M38</f>
        <v>0</v>
      </c>
      <c r="N40" s="56">
        <f>'List of Courses'!N38</f>
        <v>0</v>
      </c>
      <c r="O40" s="56">
        <f>'List of Courses'!O38</f>
        <v>0</v>
      </c>
      <c r="P40" s="56">
        <f>'List of Courses'!P38</f>
        <v>1</v>
      </c>
      <c r="Q40" s="56">
        <f>'List of Courses'!Q38</f>
        <v>0</v>
      </c>
      <c r="R40" s="294"/>
      <c r="S40" s="56" t="str">
        <f>'List of Courses'!B52</f>
        <v>CVL412</v>
      </c>
      <c r="T40" s="56" t="str">
        <f>'List of Courses'!C52</f>
        <v>Reinforced Concrete Design-3</v>
      </c>
      <c r="U40" s="56">
        <f>'List of Courses'!D52</f>
        <v>3</v>
      </c>
      <c r="V40" s="56">
        <f>'List of Courses'!E52</f>
        <v>5</v>
      </c>
      <c r="W40" s="56">
        <f>'List of Courses'!F52</f>
        <v>125</v>
      </c>
      <c r="X40" s="56">
        <f>'List of Courses'!G52</f>
        <v>2</v>
      </c>
      <c r="Y40" s="56">
        <f>'List of Courses'!H52</f>
        <v>2</v>
      </c>
      <c r="Z40" s="56">
        <f>'List of Courses'!I52</f>
        <v>0</v>
      </c>
      <c r="AA40" s="56">
        <f>'List of Courses'!J52</f>
        <v>4</v>
      </c>
      <c r="AB40" s="56" t="str">
        <f>'List of Courses'!K52</f>
        <v>CVL314</v>
      </c>
      <c r="AC40" s="56">
        <f>'List of Courses'!L52</f>
        <v>0</v>
      </c>
      <c r="AD40" s="56">
        <f>'List of Courses'!M52</f>
        <v>0</v>
      </c>
      <c r="AE40" s="56">
        <f>'List of Courses'!N52</f>
        <v>0</v>
      </c>
      <c r="AF40" s="56">
        <f>'List of Courses'!O52</f>
        <v>0</v>
      </c>
      <c r="AG40" s="56">
        <f>'List of Courses'!P52</f>
        <v>1</v>
      </c>
      <c r="AH40" s="56">
        <f>'List of Courses'!Q52</f>
        <v>0</v>
      </c>
    </row>
    <row r="41" spans="1:34" x14ac:dyDescent="0.3">
      <c r="A41" s="292"/>
      <c r="B41" s="53" t="str">
        <f>'List of Courses'!B39</f>
        <v>CVL314</v>
      </c>
      <c r="C41" s="53" t="str">
        <f>'List of Courses'!C39</f>
        <v>Reinforced Concrete Design-2</v>
      </c>
      <c r="D41" s="53">
        <f>'List of Courses'!D39</f>
        <v>3</v>
      </c>
      <c r="E41" s="53">
        <f>'List of Courses'!E39</f>
        <v>5</v>
      </c>
      <c r="F41" s="53">
        <f>'List of Courses'!F39</f>
        <v>125</v>
      </c>
      <c r="G41" s="53">
        <f>'List of Courses'!G39</f>
        <v>2</v>
      </c>
      <c r="H41" s="53">
        <f>'List of Courses'!H39</f>
        <v>2</v>
      </c>
      <c r="I41" s="53">
        <f>'List of Courses'!I39</f>
        <v>0</v>
      </c>
      <c r="J41" s="53">
        <f>'List of Courses'!J39</f>
        <v>4</v>
      </c>
      <c r="K41" s="53" t="str">
        <f>'List of Courses'!K39</f>
        <v>CVL311</v>
      </c>
      <c r="L41" s="53">
        <f>'List of Courses'!L39</f>
        <v>0</v>
      </c>
      <c r="M41" s="53">
        <f>'List of Courses'!M39</f>
        <v>0</v>
      </c>
      <c r="N41" s="53">
        <f>'List of Courses'!N39</f>
        <v>0</v>
      </c>
      <c r="O41" s="53">
        <f>'List of Courses'!O39</f>
        <v>1</v>
      </c>
      <c r="P41" s="53">
        <f>'List of Courses'!P39</f>
        <v>0</v>
      </c>
      <c r="Q41" s="53">
        <f>'List of Courses'!Q39</f>
        <v>0</v>
      </c>
      <c r="R41" s="294"/>
      <c r="S41" s="53" t="str">
        <f>'List of Courses'!B63</f>
        <v>CVL441</v>
      </c>
      <c r="T41" s="53" t="str">
        <f>'List of Courses'!C63</f>
        <v>Fundamentals of Hydraulic Engineering</v>
      </c>
      <c r="U41" s="53">
        <f>'List of Courses'!D63</f>
        <v>3</v>
      </c>
      <c r="V41" s="53">
        <f>'List of Courses'!E63</f>
        <v>5</v>
      </c>
      <c r="W41" s="53">
        <f>'List of Courses'!F63</f>
        <v>125</v>
      </c>
      <c r="X41" s="53">
        <f>'List of Courses'!G63</f>
        <v>2</v>
      </c>
      <c r="Y41" s="53">
        <f>'List of Courses'!H63</f>
        <v>1</v>
      </c>
      <c r="Z41" s="53">
        <f>'List of Courses'!I63</f>
        <v>1</v>
      </c>
      <c r="AA41" s="53">
        <f>'List of Courses'!J63</f>
        <v>4</v>
      </c>
      <c r="AB41" s="53" t="str">
        <f>'List of Courses'!K63</f>
        <v>CVL341</v>
      </c>
      <c r="AC41" s="53">
        <f>'List of Courses'!L63</f>
        <v>0</v>
      </c>
      <c r="AD41" s="53">
        <f>'List of Courses'!M63</f>
        <v>0</v>
      </c>
      <c r="AE41" s="53">
        <f>'List of Courses'!N63</f>
        <v>0</v>
      </c>
      <c r="AF41" s="53">
        <f>'List of Courses'!O63</f>
        <v>1</v>
      </c>
      <c r="AG41" s="53">
        <f>'List of Courses'!P63</f>
        <v>0</v>
      </c>
      <c r="AH41" s="53">
        <f>'List of Courses'!Q63</f>
        <v>0</v>
      </c>
    </row>
    <row r="42" spans="1:34" x14ac:dyDescent="0.3">
      <c r="A42" s="292"/>
      <c r="B42" s="53" t="str">
        <f>'List of Courses'!B46</f>
        <v>CVL341</v>
      </c>
      <c r="C42" s="53" t="str">
        <f>'List of Courses'!C46</f>
        <v>Fluid Mechanics</v>
      </c>
      <c r="D42" s="53">
        <f>'List of Courses'!D46</f>
        <v>3</v>
      </c>
      <c r="E42" s="53">
        <f>'List of Courses'!E46</f>
        <v>5</v>
      </c>
      <c r="F42" s="53">
        <f>'List of Courses'!F46</f>
        <v>125</v>
      </c>
      <c r="G42" s="53">
        <f>'List of Courses'!G46</f>
        <v>2</v>
      </c>
      <c r="H42" s="53">
        <f>'List of Courses'!H46</f>
        <v>1</v>
      </c>
      <c r="I42" s="53">
        <f>'List of Courses'!I46</f>
        <v>1</v>
      </c>
      <c r="J42" s="53">
        <f>'List of Courses'!J46</f>
        <v>4</v>
      </c>
      <c r="K42" s="53" t="str">
        <f>'List of Courses'!K46</f>
        <v>MTH215</v>
      </c>
      <c r="L42" s="53">
        <f>'List of Courses'!L46</f>
        <v>0</v>
      </c>
      <c r="M42" s="53">
        <f>'List of Courses'!M46</f>
        <v>0</v>
      </c>
      <c r="N42" s="53">
        <f>'List of Courses'!N46</f>
        <v>0</v>
      </c>
      <c r="O42" s="53">
        <f>'List of Courses'!O46</f>
        <v>1</v>
      </c>
      <c r="P42" s="53">
        <f>'List of Courses'!P46</f>
        <v>0</v>
      </c>
      <c r="Q42" s="53">
        <f>'List of Courses'!Q46</f>
        <v>0</v>
      </c>
      <c r="R42" s="294"/>
      <c r="S42" s="53" t="str">
        <f>'List of Courses'!B64</f>
        <v>CVL451</v>
      </c>
      <c r="T42" s="53" t="str">
        <f>'List of Courses'!C64</f>
        <v xml:space="preserve">Introduction to Transportation &amp; Highway Engineering </v>
      </c>
      <c r="U42" s="53">
        <f>'List of Courses'!D64</f>
        <v>3</v>
      </c>
      <c r="V42" s="53">
        <f>'List of Courses'!E64</f>
        <v>5</v>
      </c>
      <c r="W42" s="53">
        <f>'List of Courses'!F64</f>
        <v>125</v>
      </c>
      <c r="X42" s="53">
        <f>'List of Courses'!G64</f>
        <v>2</v>
      </c>
      <c r="Y42" s="53">
        <f>'List of Courses'!H64</f>
        <v>1</v>
      </c>
      <c r="Z42" s="53">
        <f>'List of Courses'!I64</f>
        <v>1</v>
      </c>
      <c r="AA42" s="53">
        <f>'List of Courses'!J64</f>
        <v>4</v>
      </c>
      <c r="AB42" s="53" t="str">
        <f>'List of Courses'!K64</f>
        <v>--</v>
      </c>
      <c r="AC42" s="53">
        <f>'List of Courses'!L64</f>
        <v>0</v>
      </c>
      <c r="AD42" s="53">
        <f>'List of Courses'!M64</f>
        <v>0</v>
      </c>
      <c r="AE42" s="53">
        <f>'List of Courses'!N64</f>
        <v>0</v>
      </c>
      <c r="AF42" s="53">
        <f>'List of Courses'!O64</f>
        <v>1</v>
      </c>
      <c r="AG42" s="53">
        <f>'List of Courses'!P64</f>
        <v>0</v>
      </c>
      <c r="AH42" s="53">
        <f>'List of Courses'!Q64</f>
        <v>0</v>
      </c>
    </row>
    <row r="43" spans="1:34" x14ac:dyDescent="0.3">
      <c r="A43" s="292"/>
      <c r="B43" s="56" t="str">
        <f>'List of Courses'!B65</f>
        <v>CVL461</v>
      </c>
      <c r="C43" s="56" t="str">
        <f>'List of Courses'!C65</f>
        <v>Smart Cities and Intelligent Systems</v>
      </c>
      <c r="D43" s="56">
        <f>'List of Courses'!D65</f>
        <v>3</v>
      </c>
      <c r="E43" s="56">
        <f>'List of Courses'!E65</f>
        <v>5</v>
      </c>
      <c r="F43" s="56">
        <f>'List of Courses'!F65</f>
        <v>125</v>
      </c>
      <c r="G43" s="56">
        <f>'List of Courses'!G65</f>
        <v>2</v>
      </c>
      <c r="H43" s="56">
        <f>'List of Courses'!H65</f>
        <v>2</v>
      </c>
      <c r="I43" s="56">
        <f>'List of Courses'!I65</f>
        <v>0</v>
      </c>
      <c r="J43" s="56">
        <f>'List of Courses'!J65</f>
        <v>4</v>
      </c>
      <c r="K43" s="56" t="str">
        <f>'List of Courses'!K65</f>
        <v>--</v>
      </c>
      <c r="L43" s="56">
        <f>'List of Courses'!L65</f>
        <v>0</v>
      </c>
      <c r="M43" s="56">
        <f>'List of Courses'!M65</f>
        <v>0</v>
      </c>
      <c r="N43" s="56">
        <f>'List of Courses'!N65</f>
        <v>0</v>
      </c>
      <c r="O43" s="56">
        <f>'List of Courses'!O65</f>
        <v>0</v>
      </c>
      <c r="P43" s="56">
        <f>'List of Courses'!P65</f>
        <v>1</v>
      </c>
      <c r="Q43" s="56">
        <f>'List of Courses'!Q65</f>
        <v>0</v>
      </c>
      <c r="R43" s="294"/>
      <c r="S43" s="56" t="str">
        <f>'List of Courses'!B71</f>
        <v>MTH E</v>
      </c>
      <c r="T43" s="56" t="str">
        <f>'List of Courses'!C71</f>
        <v>Major Math Elective</v>
      </c>
      <c r="U43" s="56">
        <f>'List of Courses'!D71</f>
        <v>3</v>
      </c>
      <c r="V43" s="56">
        <f>'List of Courses'!E71</f>
        <v>5</v>
      </c>
      <c r="W43" s="56">
        <f>'List of Courses'!F71</f>
        <v>125</v>
      </c>
      <c r="X43" s="56">
        <f>'List of Courses'!G71</f>
        <v>2</v>
      </c>
      <c r="Y43" s="56">
        <f>'List of Courses'!H71</f>
        <v>2</v>
      </c>
      <c r="Z43" s="56">
        <f>'List of Courses'!I71</f>
        <v>0</v>
      </c>
      <c r="AA43" s="56">
        <f>'List of Courses'!J71</f>
        <v>4</v>
      </c>
      <c r="AB43" s="56" t="str">
        <f>'List of Courses'!K71</f>
        <v>List</v>
      </c>
      <c r="AC43" s="56">
        <f>'List of Courses'!L71</f>
        <v>0</v>
      </c>
      <c r="AD43" s="56">
        <f>'List of Courses'!M71</f>
        <v>0</v>
      </c>
      <c r="AE43" s="56">
        <f>'List of Courses'!N71</f>
        <v>0</v>
      </c>
      <c r="AF43" s="56">
        <f>'List of Courses'!O71</f>
        <v>0</v>
      </c>
      <c r="AG43" s="56">
        <f>'List of Courses'!P71</f>
        <v>1</v>
      </c>
      <c r="AH43" s="57">
        <f>'List of Courses'!Q71</f>
        <v>1</v>
      </c>
    </row>
    <row r="44" spans="1:34" x14ac:dyDescent="0.3">
      <c r="A44" s="292"/>
      <c r="B44" s="34" t="str">
        <f>'List of Courses'!B27</f>
        <v>INT E2</v>
      </c>
      <c r="C44" s="34" t="str">
        <f>'List of Courses'!C27</f>
        <v>Sustainable Development Electives</v>
      </c>
      <c r="D44" s="34">
        <f>'List of Courses'!D27</f>
        <v>3</v>
      </c>
      <c r="E44" s="34">
        <f>'List of Courses'!E27</f>
        <v>5</v>
      </c>
      <c r="F44" s="34">
        <f>'List of Courses'!F27</f>
        <v>125</v>
      </c>
      <c r="G44" s="34">
        <f>'List of Courses'!G27</f>
        <v>2</v>
      </c>
      <c r="H44" s="34">
        <f>'List of Courses'!H27</f>
        <v>2</v>
      </c>
      <c r="I44" s="34">
        <f>'List of Courses'!I27</f>
        <v>0</v>
      </c>
      <c r="J44" s="34">
        <f>'List of Courses'!J27</f>
        <v>4</v>
      </c>
      <c r="K44" s="34" t="str">
        <f>'List of Courses'!K27</f>
        <v>--</v>
      </c>
      <c r="L44" s="34">
        <f>'List of Courses'!L27</f>
        <v>0</v>
      </c>
      <c r="M44" s="34">
        <f>'List of Courses'!M27</f>
        <v>1</v>
      </c>
      <c r="N44" s="34">
        <f>'List of Courses'!N27</f>
        <v>0</v>
      </c>
      <c r="O44" s="34">
        <f>'List of Courses'!O27</f>
        <v>0</v>
      </c>
      <c r="P44" s="34">
        <f>'List of Courses'!P27</f>
        <v>0</v>
      </c>
      <c r="Q44" s="57">
        <f>'List of Courses'!Q71</f>
        <v>1</v>
      </c>
      <c r="R44" s="294"/>
      <c r="S44" s="56" t="str">
        <f>'List of Courses'!B72</f>
        <v>CVL E1</v>
      </c>
      <c r="T44" s="56" t="str">
        <f>'List of Courses'!C72</f>
        <v>Major Elective (1)</v>
      </c>
      <c r="U44" s="56">
        <f>'List of Courses'!D72</f>
        <v>3</v>
      </c>
      <c r="V44" s="56">
        <f>'List of Courses'!E72</f>
        <v>5</v>
      </c>
      <c r="W44" s="56">
        <f>'List of Courses'!F72</f>
        <v>125</v>
      </c>
      <c r="X44" s="56">
        <f>'List of Courses'!G72</f>
        <v>2</v>
      </c>
      <c r="Y44" s="56">
        <f>'List of Courses'!H72</f>
        <v>1</v>
      </c>
      <c r="Z44" s="56">
        <f>'List of Courses'!I72</f>
        <v>1</v>
      </c>
      <c r="AA44" s="56">
        <f>'List of Courses'!J72</f>
        <v>4</v>
      </c>
      <c r="AB44" s="56" t="str">
        <f>'List of Courses'!K72</f>
        <v>List</v>
      </c>
      <c r="AC44" s="56">
        <f>'List of Courses'!L72</f>
        <v>0</v>
      </c>
      <c r="AD44" s="56">
        <f>'List of Courses'!M72</f>
        <v>0</v>
      </c>
      <c r="AE44" s="56">
        <f>'List of Courses'!N72</f>
        <v>0</v>
      </c>
      <c r="AF44" s="56">
        <f>'List of Courses'!O72</f>
        <v>0</v>
      </c>
      <c r="AG44" s="56">
        <f>'List of Courses'!P72</f>
        <v>1</v>
      </c>
      <c r="AH44" s="57">
        <f>'List of Courses'!Q72</f>
        <v>1</v>
      </c>
    </row>
    <row r="45" spans="1:34" x14ac:dyDescent="0.3">
      <c r="A45" s="292"/>
      <c r="B45" s="3"/>
      <c r="C45" s="75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295"/>
      <c r="S45" s="56" t="str">
        <f>'List of Courses'!B73</f>
        <v>CVL E2</v>
      </c>
      <c r="T45" s="56" t="str">
        <f>'List of Courses'!C73</f>
        <v>Major Elective (2)</v>
      </c>
      <c r="U45" s="56">
        <f>'List of Courses'!D73</f>
        <v>3</v>
      </c>
      <c r="V45" s="56">
        <f>'List of Courses'!E73</f>
        <v>5</v>
      </c>
      <c r="W45" s="56">
        <f>'List of Courses'!F73</f>
        <v>125</v>
      </c>
      <c r="X45" s="56">
        <f>'List of Courses'!G73</f>
        <v>2</v>
      </c>
      <c r="Y45" s="56">
        <f>'List of Courses'!H73</f>
        <v>1</v>
      </c>
      <c r="Z45" s="56">
        <f>'List of Courses'!I73</f>
        <v>1</v>
      </c>
      <c r="AA45" s="56">
        <f>'List of Courses'!J73</f>
        <v>4</v>
      </c>
      <c r="AB45" s="56" t="str">
        <f>'List of Courses'!K73</f>
        <v>List</v>
      </c>
      <c r="AC45" s="56">
        <f>'List of Courses'!L73</f>
        <v>0</v>
      </c>
      <c r="AD45" s="56">
        <f>'List of Courses'!M73</f>
        <v>0</v>
      </c>
      <c r="AE45" s="56">
        <f>'List of Courses'!N73</f>
        <v>0</v>
      </c>
      <c r="AF45" s="56">
        <f>'List of Courses'!O73</f>
        <v>0</v>
      </c>
      <c r="AG45" s="56">
        <f>'List of Courses'!P73</f>
        <v>1</v>
      </c>
      <c r="AH45" s="57">
        <f>'List of Courses'!Q73</f>
        <v>1</v>
      </c>
    </row>
    <row r="46" spans="1:34" x14ac:dyDescent="0.3">
      <c r="D46" s="41">
        <f>SUM(D38:D45)</f>
        <v>21</v>
      </c>
      <c r="E46" s="41">
        <f t="shared" ref="E46:I46" si="6">SUM(E38:E45)</f>
        <v>35</v>
      </c>
      <c r="F46" s="41">
        <f t="shared" si="6"/>
        <v>875</v>
      </c>
      <c r="G46" s="41">
        <f t="shared" si="6"/>
        <v>14</v>
      </c>
      <c r="H46" s="41">
        <f t="shared" si="6"/>
        <v>12</v>
      </c>
      <c r="I46" s="41">
        <f t="shared" si="6"/>
        <v>2</v>
      </c>
      <c r="J46" s="41">
        <f>SUM(J38:J45)</f>
        <v>28</v>
      </c>
      <c r="L46" s="1"/>
      <c r="M46" s="1"/>
      <c r="N46" s="1"/>
      <c r="O46" s="1"/>
      <c r="P46" s="1"/>
      <c r="Q46" s="1"/>
      <c r="U46" s="41">
        <f t="shared" ref="U46:AA46" si="7">SUM(U38:U45)</f>
        <v>21</v>
      </c>
      <c r="V46" s="41">
        <f t="shared" si="7"/>
        <v>35</v>
      </c>
      <c r="W46" s="41">
        <f t="shared" si="7"/>
        <v>875</v>
      </c>
      <c r="X46" s="41">
        <f t="shared" si="7"/>
        <v>14</v>
      </c>
      <c r="Y46" s="41">
        <f t="shared" si="7"/>
        <v>10</v>
      </c>
      <c r="Z46" s="41">
        <f t="shared" si="7"/>
        <v>4</v>
      </c>
      <c r="AA46" s="41">
        <f t="shared" si="7"/>
        <v>28</v>
      </c>
      <c r="AC46" s="1"/>
      <c r="AD46" s="1"/>
      <c r="AE46" s="1"/>
      <c r="AF46" s="1"/>
      <c r="AG46" s="1"/>
    </row>
    <row r="48" spans="1:34" ht="14.4" customHeight="1" x14ac:dyDescent="0.3">
      <c r="A48" s="292" t="s">
        <v>61</v>
      </c>
      <c r="B48" s="290" t="s">
        <v>17</v>
      </c>
      <c r="C48" s="290" t="s">
        <v>18</v>
      </c>
      <c r="D48" s="290" t="s">
        <v>1</v>
      </c>
      <c r="E48" s="290"/>
      <c r="F48" s="290"/>
      <c r="G48" s="290" t="s">
        <v>2</v>
      </c>
      <c r="H48" s="290"/>
      <c r="I48" s="290"/>
      <c r="J48" s="290"/>
      <c r="K48" s="288" t="s">
        <v>19</v>
      </c>
      <c r="L48" s="288" t="s">
        <v>20</v>
      </c>
      <c r="M48" s="288" t="s">
        <v>21</v>
      </c>
      <c r="N48" s="289" t="s">
        <v>111</v>
      </c>
      <c r="O48" s="288" t="s">
        <v>22</v>
      </c>
      <c r="P48" s="288" t="s">
        <v>98</v>
      </c>
      <c r="Q48" s="288" t="s">
        <v>89</v>
      </c>
      <c r="R48" s="76"/>
      <c r="S48" s="29"/>
      <c r="T48" s="29"/>
      <c r="U48" s="29"/>
      <c r="V48" s="29"/>
      <c r="W48" s="29"/>
      <c r="X48" s="29"/>
      <c r="Y48" s="29"/>
      <c r="Z48" s="29"/>
      <c r="AA48" s="29"/>
      <c r="AB48" s="28"/>
      <c r="AC48" s="28"/>
      <c r="AD48" s="28"/>
      <c r="AE48" s="91"/>
      <c r="AF48" s="28"/>
      <c r="AG48" s="28"/>
      <c r="AH48" s="28"/>
    </row>
    <row r="49" spans="1:34" x14ac:dyDescent="0.3">
      <c r="A49" s="292"/>
      <c r="B49" s="290"/>
      <c r="C49" s="290"/>
      <c r="D49" s="16" t="s">
        <v>3</v>
      </c>
      <c r="E49" s="16" t="s">
        <v>4</v>
      </c>
      <c r="F49" s="16" t="s">
        <v>5</v>
      </c>
      <c r="G49" s="16" t="s">
        <v>6</v>
      </c>
      <c r="H49" s="16" t="s">
        <v>7</v>
      </c>
      <c r="I49" s="16" t="s">
        <v>8</v>
      </c>
      <c r="J49" s="16" t="s">
        <v>9</v>
      </c>
      <c r="K49" s="288"/>
      <c r="L49" s="288"/>
      <c r="M49" s="288"/>
      <c r="N49" s="289"/>
      <c r="O49" s="288"/>
      <c r="P49" s="288"/>
      <c r="Q49" s="288"/>
      <c r="R49" s="76"/>
      <c r="S49" s="29"/>
      <c r="T49" s="29"/>
      <c r="U49" s="27"/>
      <c r="V49" s="27"/>
      <c r="W49" s="27"/>
      <c r="X49" s="27"/>
      <c r="Y49" s="27"/>
      <c r="Z49" s="27"/>
      <c r="AA49" s="27"/>
      <c r="AB49" s="28"/>
      <c r="AC49" s="28"/>
      <c r="AD49" s="28"/>
      <c r="AE49" s="91"/>
      <c r="AF49" s="28"/>
      <c r="AG49" s="28"/>
      <c r="AH49" s="28"/>
    </row>
    <row r="50" spans="1:34" ht="14.4" customHeight="1" x14ac:dyDescent="0.3">
      <c r="A50" s="292"/>
      <c r="B50" s="56" t="str">
        <f>'List of Courses'!B53</f>
        <v>CVL413</v>
      </c>
      <c r="C50" s="56" t="str">
        <f>'List of Courses'!C53</f>
        <v>Repair and Strengthening of Buildings</v>
      </c>
      <c r="D50" s="56">
        <f>'List of Courses'!D53</f>
        <v>3</v>
      </c>
      <c r="E50" s="56">
        <f>'List of Courses'!E53</f>
        <v>5</v>
      </c>
      <c r="F50" s="56">
        <f>'List of Courses'!F53</f>
        <v>125</v>
      </c>
      <c r="G50" s="56">
        <f>'List of Courses'!G53</f>
        <v>2</v>
      </c>
      <c r="H50" s="56">
        <f>'List of Courses'!H53</f>
        <v>2</v>
      </c>
      <c r="I50" s="56">
        <f>'List of Courses'!I53</f>
        <v>0</v>
      </c>
      <c r="J50" s="56">
        <f>'List of Courses'!J53</f>
        <v>4</v>
      </c>
      <c r="K50" s="56" t="str">
        <f>'List of Courses'!K53</f>
        <v>CVL411</v>
      </c>
      <c r="L50" s="56">
        <f>'List of Courses'!L53</f>
        <v>0</v>
      </c>
      <c r="M50" s="56">
        <f>'List of Courses'!M53</f>
        <v>0</v>
      </c>
      <c r="N50" s="56">
        <f>'List of Courses'!N53</f>
        <v>0</v>
      </c>
      <c r="O50" s="56">
        <f>'List of Courses'!O53</f>
        <v>0</v>
      </c>
      <c r="P50" s="56">
        <f>'List of Courses'!P53</f>
        <v>1</v>
      </c>
      <c r="Q50" s="56">
        <f>'List of Courses'!Q53</f>
        <v>0</v>
      </c>
      <c r="R50" s="76"/>
    </row>
    <row r="51" spans="1:34" x14ac:dyDescent="0.3">
      <c r="A51" s="292"/>
      <c r="B51" s="56" t="str">
        <f>'List of Courses'!B54</f>
        <v>CVL421</v>
      </c>
      <c r="C51" s="56" t="str">
        <f>'List of Courses'!C54</f>
        <v xml:space="preserve">Smart Buildings and Materials </v>
      </c>
      <c r="D51" s="56">
        <f>'List of Courses'!D54</f>
        <v>3</v>
      </c>
      <c r="E51" s="56">
        <f>'List of Courses'!E54</f>
        <v>5</v>
      </c>
      <c r="F51" s="56">
        <f>'List of Courses'!F54</f>
        <v>125</v>
      </c>
      <c r="G51" s="56">
        <f>'List of Courses'!G54</f>
        <v>2</v>
      </c>
      <c r="H51" s="56">
        <f>'List of Courses'!H54</f>
        <v>2</v>
      </c>
      <c r="I51" s="56">
        <f>'List of Courses'!I54</f>
        <v>0</v>
      </c>
      <c r="J51" s="56">
        <f>'List of Courses'!J54</f>
        <v>4</v>
      </c>
      <c r="K51" s="56" t="str">
        <f>'List of Courses'!K54</f>
        <v>CVL321</v>
      </c>
      <c r="L51" s="56">
        <f>'List of Courses'!L54</f>
        <v>0</v>
      </c>
      <c r="M51" s="56">
        <f>'List of Courses'!M54</f>
        <v>0</v>
      </c>
      <c r="N51" s="56">
        <f>'List of Courses'!N54</f>
        <v>0</v>
      </c>
      <c r="O51" s="56">
        <f>'List of Courses'!O54</f>
        <v>0</v>
      </c>
      <c r="P51" s="56">
        <f>'List of Courses'!P54</f>
        <v>1</v>
      </c>
      <c r="Q51" s="56">
        <f>'List of Courses'!Q54</f>
        <v>0</v>
      </c>
      <c r="R51" s="76"/>
    </row>
    <row r="52" spans="1:34" x14ac:dyDescent="0.3">
      <c r="A52" s="292"/>
      <c r="B52" s="56" t="str">
        <f>'List of Courses'!B74</f>
        <v>CVL E3</v>
      </c>
      <c r="C52" s="56" t="str">
        <f>'List of Courses'!C74</f>
        <v>Major Elective (3)</v>
      </c>
      <c r="D52" s="56">
        <f>'List of Courses'!D74</f>
        <v>3</v>
      </c>
      <c r="E52" s="56">
        <f>'List of Courses'!E74</f>
        <v>5</v>
      </c>
      <c r="F52" s="56">
        <f>'List of Courses'!F74</f>
        <v>125</v>
      </c>
      <c r="G52" s="56">
        <f>'List of Courses'!G74</f>
        <v>2</v>
      </c>
      <c r="H52" s="56">
        <f>'List of Courses'!H74</f>
        <v>1</v>
      </c>
      <c r="I52" s="56">
        <f>'List of Courses'!I74</f>
        <v>1</v>
      </c>
      <c r="J52" s="56">
        <f>'List of Courses'!J74</f>
        <v>4</v>
      </c>
      <c r="K52" s="56" t="str">
        <f>'List of Courses'!K74</f>
        <v>List</v>
      </c>
      <c r="L52" s="56">
        <f>'List of Courses'!L74</f>
        <v>0</v>
      </c>
      <c r="M52" s="56">
        <f>'List of Courses'!M74</f>
        <v>0</v>
      </c>
      <c r="N52" s="56">
        <f>'List of Courses'!N74</f>
        <v>0</v>
      </c>
      <c r="O52" s="56">
        <f>'List of Courses'!O74</f>
        <v>0</v>
      </c>
      <c r="P52" s="56">
        <f>'List of Courses'!P74</f>
        <v>1</v>
      </c>
      <c r="Q52" s="57">
        <f>'List of Courses'!Q74</f>
        <v>1</v>
      </c>
      <c r="R52" s="76"/>
    </row>
    <row r="53" spans="1:34" x14ac:dyDescent="0.3">
      <c r="A53" s="292"/>
      <c r="B53" s="56" t="str">
        <f>'List of Courses'!B75</f>
        <v>CVL E4</v>
      </c>
      <c r="C53" s="56" t="str">
        <f>'List of Courses'!C75</f>
        <v>Major Elective (4)</v>
      </c>
      <c r="D53" s="56">
        <f>'List of Courses'!D75</f>
        <v>3</v>
      </c>
      <c r="E53" s="56">
        <f>'List of Courses'!E75</f>
        <v>5</v>
      </c>
      <c r="F53" s="56">
        <f>'List of Courses'!F75</f>
        <v>125</v>
      </c>
      <c r="G53" s="56">
        <f>'List of Courses'!G75</f>
        <v>2</v>
      </c>
      <c r="H53" s="56">
        <f>'List of Courses'!H75</f>
        <v>1</v>
      </c>
      <c r="I53" s="56">
        <f>'List of Courses'!I75</f>
        <v>1</v>
      </c>
      <c r="J53" s="56">
        <f>'List of Courses'!J75</f>
        <v>4</v>
      </c>
      <c r="K53" s="56" t="str">
        <f>'List of Courses'!K75</f>
        <v>List</v>
      </c>
      <c r="L53" s="56">
        <f>'List of Courses'!L75</f>
        <v>0</v>
      </c>
      <c r="M53" s="56">
        <f>'List of Courses'!M75</f>
        <v>0</v>
      </c>
      <c r="N53" s="56">
        <f>'List of Courses'!N75</f>
        <v>0</v>
      </c>
      <c r="O53" s="56">
        <f>'List of Courses'!O75</f>
        <v>0</v>
      </c>
      <c r="P53" s="56">
        <f>'List of Courses'!P75</f>
        <v>1</v>
      </c>
      <c r="Q53" s="57">
        <f>'List of Courses'!Q75</f>
        <v>1</v>
      </c>
      <c r="R53" s="76"/>
    </row>
    <row r="54" spans="1:34" x14ac:dyDescent="0.3">
      <c r="A54" s="292"/>
      <c r="B54" s="34" t="str">
        <f>'List of Courses'!B28</f>
        <v>EBS111</v>
      </c>
      <c r="C54" s="34" t="str">
        <f>'List of Courses'!C28</f>
        <v xml:space="preserve">Selected Topics in Entrepreneurship </v>
      </c>
      <c r="D54" s="34">
        <f>'List of Courses'!D28</f>
        <v>3</v>
      </c>
      <c r="E54" s="34">
        <f>'List of Courses'!E28</f>
        <v>5</v>
      </c>
      <c r="F54" s="34">
        <f>'List of Courses'!F28</f>
        <v>125</v>
      </c>
      <c r="G54" s="34">
        <f>'List of Courses'!G28</f>
        <v>2</v>
      </c>
      <c r="H54" s="34">
        <f>'List of Courses'!H28</f>
        <v>2</v>
      </c>
      <c r="I54" s="34">
        <f>'List of Courses'!I28</f>
        <v>0</v>
      </c>
      <c r="J54" s="34">
        <f>'List of Courses'!J28</f>
        <v>4</v>
      </c>
      <c r="K54" s="34" t="str">
        <f>'List of Courses'!K28</f>
        <v>--</v>
      </c>
      <c r="L54" s="34">
        <f>'List of Courses'!L28</f>
        <v>0</v>
      </c>
      <c r="M54" s="34">
        <f>'List of Courses'!M28</f>
        <v>1</v>
      </c>
      <c r="N54" s="34">
        <f>'List of Courses'!N28</f>
        <v>0</v>
      </c>
      <c r="O54" s="34">
        <f>'List of Courses'!O28</f>
        <v>0</v>
      </c>
      <c r="P54" s="34">
        <f>'List of Courses'!P28</f>
        <v>0</v>
      </c>
      <c r="Q54" s="3">
        <f>'List of Courses'!Q28</f>
        <v>0</v>
      </c>
      <c r="R54" s="76"/>
    </row>
    <row r="55" spans="1:34" x14ac:dyDescent="0.3">
      <c r="A55" s="292"/>
      <c r="B55" s="53" t="str">
        <f>'List of Courses'!B68</f>
        <v>CVL493</v>
      </c>
      <c r="C55" s="53" t="str">
        <f>'List of Courses'!C68</f>
        <v>Graduation Project I</v>
      </c>
      <c r="D55" s="53">
        <f>'List of Courses'!D68</f>
        <v>3</v>
      </c>
      <c r="E55" s="53">
        <f>'List of Courses'!E68</f>
        <v>5</v>
      </c>
      <c r="F55" s="53">
        <f>'List of Courses'!F68</f>
        <v>125</v>
      </c>
      <c r="G55" s="53">
        <f>'List of Courses'!G68</f>
        <v>1</v>
      </c>
      <c r="H55" s="53">
        <f>'List of Courses'!H68</f>
        <v>0</v>
      </c>
      <c r="I55" s="53">
        <f>'List of Courses'!I68</f>
        <v>4</v>
      </c>
      <c r="J55" s="53">
        <f>'List of Courses'!J68</f>
        <v>5</v>
      </c>
      <c r="K55" s="53" t="str">
        <f>'List of Courses'!K68</f>
        <v>--</v>
      </c>
      <c r="L55" s="53">
        <f>'List of Courses'!L68</f>
        <v>0</v>
      </c>
      <c r="M55" s="53">
        <f>'List of Courses'!M68</f>
        <v>0</v>
      </c>
      <c r="N55" s="53">
        <f>'List of Courses'!N68</f>
        <v>0</v>
      </c>
      <c r="O55" s="53">
        <f>'List of Courses'!O68</f>
        <v>1</v>
      </c>
      <c r="P55" s="53">
        <f>'List of Courses'!P68</f>
        <v>0</v>
      </c>
      <c r="Q55" s="53">
        <f>'List of Courses'!Q68</f>
        <v>0</v>
      </c>
      <c r="R55" s="76"/>
    </row>
    <row r="56" spans="1:34" x14ac:dyDescent="0.3">
      <c r="A56" s="292"/>
      <c r="B56" s="53" t="str">
        <f>'List of Courses'!B69</f>
        <v>CVL494</v>
      </c>
      <c r="C56" s="53" t="str">
        <f>'List of Courses'!C69</f>
        <v>Graduation Project II</v>
      </c>
      <c r="D56" s="53">
        <f>'List of Courses'!D69</f>
        <v>3</v>
      </c>
      <c r="E56" s="53">
        <f>'List of Courses'!E69</f>
        <v>5</v>
      </c>
      <c r="F56" s="53">
        <f>'List of Courses'!F69</f>
        <v>125</v>
      </c>
      <c r="G56" s="53">
        <f>'List of Courses'!G69</f>
        <v>1</v>
      </c>
      <c r="H56" s="53">
        <f>'List of Courses'!H69</f>
        <v>0</v>
      </c>
      <c r="I56" s="53">
        <f>'List of Courses'!I69</f>
        <v>4</v>
      </c>
      <c r="J56" s="53">
        <f>'List of Courses'!J69</f>
        <v>5</v>
      </c>
      <c r="K56" s="53" t="str">
        <f>'List of Courses'!K69</f>
        <v>CVL493 (CO)</v>
      </c>
      <c r="L56" s="53">
        <f>'List of Courses'!L69</f>
        <v>0</v>
      </c>
      <c r="M56" s="53">
        <f>'List of Courses'!M69</f>
        <v>0</v>
      </c>
      <c r="N56" s="53">
        <f>'List of Courses'!N69</f>
        <v>0</v>
      </c>
      <c r="O56" s="53">
        <f>'List of Courses'!O69</f>
        <v>1</v>
      </c>
      <c r="P56" s="53">
        <f>'List of Courses'!P69</f>
        <v>0</v>
      </c>
      <c r="Q56" s="53">
        <f>'List of Courses'!Q69</f>
        <v>0</v>
      </c>
      <c r="R56" s="76"/>
      <c r="S56" s="1"/>
      <c r="T56" s="1"/>
      <c r="U56" s="6"/>
      <c r="V56" s="6"/>
      <c r="W56" s="6"/>
      <c r="X56" s="6"/>
      <c r="Y56" s="6"/>
      <c r="Z56" s="6"/>
      <c r="AA56" s="6"/>
      <c r="AB56" s="1"/>
      <c r="AC56" s="6"/>
      <c r="AD56" s="6"/>
      <c r="AE56" s="6"/>
      <c r="AF56" s="6"/>
      <c r="AG56" s="6"/>
      <c r="AH56" s="6"/>
    </row>
    <row r="57" spans="1:34" x14ac:dyDescent="0.3">
      <c r="D57" s="41">
        <f t="shared" ref="D57:J57" si="8">SUM(D50:D56)</f>
        <v>21</v>
      </c>
      <c r="E57" s="41">
        <f t="shared" si="8"/>
        <v>35</v>
      </c>
      <c r="F57" s="41">
        <f t="shared" si="8"/>
        <v>875</v>
      </c>
      <c r="G57" s="41">
        <f t="shared" si="8"/>
        <v>12</v>
      </c>
      <c r="H57" s="41">
        <f t="shared" si="8"/>
        <v>8</v>
      </c>
      <c r="I57" s="41">
        <f t="shared" si="8"/>
        <v>10</v>
      </c>
      <c r="J57" s="41">
        <f t="shared" si="8"/>
        <v>30</v>
      </c>
      <c r="L57" s="1"/>
      <c r="M57" s="1"/>
      <c r="N57" s="1"/>
      <c r="O57" s="1"/>
      <c r="P57" s="1"/>
      <c r="Q57" s="1"/>
      <c r="U57" s="18"/>
      <c r="V57" s="18"/>
      <c r="W57" s="18"/>
      <c r="X57" s="18"/>
      <c r="Y57" s="18"/>
      <c r="Z57" s="18"/>
      <c r="AA57" s="18"/>
    </row>
    <row r="58" spans="1:34" x14ac:dyDescent="0.3">
      <c r="D58" s="18"/>
      <c r="L58" s="1"/>
      <c r="M58" s="1"/>
      <c r="N58" s="1"/>
      <c r="O58" s="1"/>
      <c r="P58" s="1"/>
      <c r="Q58" s="1"/>
    </row>
    <row r="59" spans="1:34" ht="14.4" customHeight="1" x14ac:dyDescent="0.3">
      <c r="R59" s="291" t="s">
        <v>401</v>
      </c>
      <c r="S59" s="290" t="s">
        <v>17</v>
      </c>
      <c r="T59" s="290" t="s">
        <v>18</v>
      </c>
      <c r="U59" s="290" t="s">
        <v>1</v>
      </c>
      <c r="V59" s="290"/>
      <c r="W59" s="290"/>
      <c r="X59" s="290" t="s">
        <v>2</v>
      </c>
      <c r="Y59" s="290"/>
      <c r="Z59" s="290"/>
      <c r="AA59" s="290"/>
      <c r="AB59" s="288" t="s">
        <v>19</v>
      </c>
      <c r="AC59" s="288" t="s">
        <v>20</v>
      </c>
      <c r="AD59" s="288" t="s">
        <v>21</v>
      </c>
      <c r="AE59" s="289" t="s">
        <v>111</v>
      </c>
      <c r="AF59" s="288" t="s">
        <v>22</v>
      </c>
      <c r="AG59" s="288" t="s">
        <v>98</v>
      </c>
      <c r="AH59" s="28"/>
    </row>
    <row r="60" spans="1:34" x14ac:dyDescent="0.3">
      <c r="R60" s="291"/>
      <c r="S60" s="290"/>
      <c r="T60" s="290"/>
      <c r="U60" s="16" t="s">
        <v>3</v>
      </c>
      <c r="V60" s="16" t="s">
        <v>4</v>
      </c>
      <c r="W60" s="16" t="s">
        <v>5</v>
      </c>
      <c r="X60" s="16" t="s">
        <v>6</v>
      </c>
      <c r="Y60" s="16" t="s">
        <v>7</v>
      </c>
      <c r="Z60" s="16" t="s">
        <v>8</v>
      </c>
      <c r="AA60" s="16" t="s">
        <v>9</v>
      </c>
      <c r="AB60" s="288"/>
      <c r="AC60" s="288"/>
      <c r="AD60" s="288"/>
      <c r="AE60" s="289"/>
      <c r="AF60" s="288"/>
      <c r="AG60" s="288"/>
      <c r="AH60" s="28"/>
    </row>
    <row r="61" spans="1:34" x14ac:dyDescent="0.3">
      <c r="R61" s="291"/>
      <c r="S61" s="57" t="str">
        <f>'List of Courses'!B48</f>
        <v>CVL381</v>
      </c>
      <c r="T61" s="57" t="str">
        <f>'List of Courses'!C48</f>
        <v>Computer Applications in Civil Engineering</v>
      </c>
      <c r="U61" s="57">
        <f>'List of Courses'!D48</f>
        <v>3</v>
      </c>
      <c r="V61" s="57">
        <f>'List of Courses'!E48</f>
        <v>5</v>
      </c>
      <c r="W61" s="57">
        <f>'List of Courses'!F48</f>
        <v>125</v>
      </c>
      <c r="X61" s="57">
        <f>'List of Courses'!G48</f>
        <v>2</v>
      </c>
      <c r="Y61" s="57">
        <f>'List of Courses'!H48</f>
        <v>0</v>
      </c>
      <c r="Z61" s="57">
        <f>'List of Courses'!I48</f>
        <v>2</v>
      </c>
      <c r="AA61" s="57">
        <f>'List of Courses'!J48</f>
        <v>4</v>
      </c>
      <c r="AB61" s="57" t="str">
        <f>'List of Courses'!K48</f>
        <v>--</v>
      </c>
      <c r="AC61" s="57">
        <f>'List of Courses'!L48</f>
        <v>0</v>
      </c>
      <c r="AD61" s="57">
        <f>'List of Courses'!M48</f>
        <v>0</v>
      </c>
      <c r="AE61" s="57">
        <f>'List of Courses'!N48</f>
        <v>0</v>
      </c>
      <c r="AF61" s="57">
        <f>'List of Courses'!O48</f>
        <v>0</v>
      </c>
      <c r="AG61" s="57">
        <f>'List of Courses'!P48</f>
        <v>1</v>
      </c>
      <c r="AH61" s="1"/>
    </row>
    <row r="62" spans="1:34" x14ac:dyDescent="0.3">
      <c r="R62" s="291"/>
      <c r="S62" s="57" t="str">
        <f>'List of Courses'!B44</f>
        <v>CVL333</v>
      </c>
      <c r="T62" s="57" t="str">
        <f>'List of Courses'!C44</f>
        <v>Civil Engineering Economics</v>
      </c>
      <c r="U62" s="57">
        <f>'List of Courses'!D44</f>
        <v>3</v>
      </c>
      <c r="V62" s="57">
        <f>'List of Courses'!E44</f>
        <v>5</v>
      </c>
      <c r="W62" s="57">
        <f>'List of Courses'!F44</f>
        <v>125</v>
      </c>
      <c r="X62" s="57">
        <f>'List of Courses'!G44</f>
        <v>2</v>
      </c>
      <c r="Y62" s="57">
        <f>'List of Courses'!H44</f>
        <v>2</v>
      </c>
      <c r="Z62" s="57">
        <f>'List of Courses'!I44</f>
        <v>0</v>
      </c>
      <c r="AA62" s="57">
        <f>'List of Courses'!J44</f>
        <v>4</v>
      </c>
      <c r="AB62" s="57" t="str">
        <f>'List of Courses'!K44</f>
        <v>--</v>
      </c>
      <c r="AC62" s="57">
        <f>'List of Courses'!L44</f>
        <v>0</v>
      </c>
      <c r="AD62" s="57">
        <f>'List of Courses'!M44</f>
        <v>0</v>
      </c>
      <c r="AE62" s="57">
        <f>'List of Courses'!N44</f>
        <v>0</v>
      </c>
      <c r="AF62" s="57">
        <f>'List of Courses'!O44</f>
        <v>0</v>
      </c>
      <c r="AG62" s="57">
        <f>'List of Courses'!P44</f>
        <v>1</v>
      </c>
      <c r="AH62" s="1"/>
    </row>
    <row r="63" spans="1:34" x14ac:dyDescent="0.3">
      <c r="L63" s="1"/>
      <c r="M63" s="1"/>
      <c r="N63" s="1"/>
      <c r="O63" s="1"/>
      <c r="P63" s="1"/>
      <c r="Q63" s="1"/>
      <c r="R63" s="291"/>
      <c r="S63" s="57" t="str">
        <f>'List of Courses'!B45</f>
        <v>CVL334</v>
      </c>
      <c r="T63" s="57" t="str">
        <f>'List of Courses'!C45</f>
        <v>Construction Planning &amp; Scheduling</v>
      </c>
      <c r="U63" s="57">
        <f>'List of Courses'!D45</f>
        <v>3</v>
      </c>
      <c r="V63" s="57">
        <f>'List of Courses'!E45</f>
        <v>5</v>
      </c>
      <c r="W63" s="57">
        <f>'List of Courses'!F45</f>
        <v>125</v>
      </c>
      <c r="X63" s="57">
        <f>'List of Courses'!G45</f>
        <v>2</v>
      </c>
      <c r="Y63" s="57">
        <f>'List of Courses'!H45</f>
        <v>1</v>
      </c>
      <c r="Z63" s="57">
        <f>'List of Courses'!I45</f>
        <v>1</v>
      </c>
      <c r="AA63" s="57">
        <f>'List of Courses'!J45</f>
        <v>4</v>
      </c>
      <c r="AB63" s="57" t="str">
        <f>'List of Courses'!K45</f>
        <v>--</v>
      </c>
      <c r="AC63" s="57">
        <f>'List of Courses'!L45</f>
        <v>0</v>
      </c>
      <c r="AD63" s="57">
        <f>'List of Courses'!M45</f>
        <v>0</v>
      </c>
      <c r="AE63" s="57">
        <f>'List of Courses'!N45</f>
        <v>0</v>
      </c>
      <c r="AF63" s="57">
        <f>'List of Courses'!O45</f>
        <v>0</v>
      </c>
      <c r="AG63" s="57">
        <f>'List of Courses'!P45</f>
        <v>1</v>
      </c>
      <c r="AH63" s="1"/>
    </row>
    <row r="64" spans="1:34" x14ac:dyDescent="0.3">
      <c r="L64" s="1"/>
      <c r="M64" s="1"/>
      <c r="N64" s="1"/>
      <c r="O64" s="1"/>
      <c r="P64" s="1"/>
      <c r="Q64" s="1"/>
      <c r="R64" s="291"/>
      <c r="S64" s="57" t="str">
        <f>'List of Courses'!B67</f>
        <v>CVL481</v>
      </c>
      <c r="T64" s="57" t="str">
        <f>'List of Courses'!C67</f>
        <v>Advanced Surveying and GIS</v>
      </c>
      <c r="U64" s="57">
        <f>'List of Courses'!D67</f>
        <v>3</v>
      </c>
      <c r="V64" s="57">
        <f>'List of Courses'!E67</f>
        <v>5</v>
      </c>
      <c r="W64" s="57">
        <f>'List of Courses'!F67</f>
        <v>125</v>
      </c>
      <c r="X64" s="57">
        <f>'List of Courses'!G67</f>
        <v>1</v>
      </c>
      <c r="Y64" s="57">
        <f>'List of Courses'!H67</f>
        <v>2</v>
      </c>
      <c r="Z64" s="57">
        <f>'List of Courses'!I67</f>
        <v>2</v>
      </c>
      <c r="AA64" s="57">
        <f>'List of Courses'!J67</f>
        <v>5</v>
      </c>
      <c r="AB64" s="57" t="str">
        <f>'List of Courses'!K67</f>
        <v>CVL281</v>
      </c>
      <c r="AC64" s="57">
        <f>'List of Courses'!L67</f>
        <v>0</v>
      </c>
      <c r="AD64" s="57">
        <f>'List of Courses'!M67</f>
        <v>0</v>
      </c>
      <c r="AE64" s="57">
        <f>'List of Courses'!N67</f>
        <v>0</v>
      </c>
      <c r="AF64" s="57">
        <f>'List of Courses'!O67</f>
        <v>0</v>
      </c>
      <c r="AG64" s="57">
        <f>'List of Courses'!P67</f>
        <v>1</v>
      </c>
      <c r="AH64" s="1"/>
    </row>
    <row r="65" spans="2:34" x14ac:dyDescent="0.3">
      <c r="Q65" s="1"/>
      <c r="R65" s="291"/>
      <c r="S65" s="57" t="str">
        <f>'List of Courses'!B55</f>
        <v>CVL422</v>
      </c>
      <c r="T65" s="57" t="str">
        <f>'List of Courses'!C55</f>
        <v>Quality Control of Smart Materials</v>
      </c>
      <c r="U65" s="57">
        <f>'List of Courses'!D55</f>
        <v>3</v>
      </c>
      <c r="V65" s="57">
        <f>'List of Courses'!E55</f>
        <v>5</v>
      </c>
      <c r="W65" s="57">
        <f>'List of Courses'!F55</f>
        <v>125</v>
      </c>
      <c r="X65" s="57">
        <f>'List of Courses'!G55</f>
        <v>2</v>
      </c>
      <c r="Y65" s="57">
        <f>'List of Courses'!H55</f>
        <v>2</v>
      </c>
      <c r="Z65" s="57">
        <f>'List of Courses'!I55</f>
        <v>0</v>
      </c>
      <c r="AA65" s="57">
        <f>'List of Courses'!J55</f>
        <v>4</v>
      </c>
      <c r="AB65" s="57" t="str">
        <f>'List of Courses'!K55</f>
        <v>--</v>
      </c>
      <c r="AC65" s="57">
        <f>'List of Courses'!L55</f>
        <v>0</v>
      </c>
      <c r="AD65" s="57">
        <f>'List of Courses'!M55</f>
        <v>0</v>
      </c>
      <c r="AE65" s="57">
        <f>'List of Courses'!N55</f>
        <v>0</v>
      </c>
      <c r="AF65" s="57">
        <f>'List of Courses'!O55</f>
        <v>0</v>
      </c>
      <c r="AG65" s="57">
        <f>'List of Courses'!P55</f>
        <v>1</v>
      </c>
      <c r="AH65" s="1"/>
    </row>
    <row r="66" spans="2:34" x14ac:dyDescent="0.3">
      <c r="L66" s="1"/>
      <c r="M66" s="1"/>
      <c r="N66" s="1"/>
      <c r="O66" s="1"/>
      <c r="P66" s="1"/>
      <c r="Q66" s="1"/>
      <c r="R66" s="291"/>
      <c r="S66" s="57" t="str">
        <f>'List of Courses'!B60</f>
        <v>CVL435</v>
      </c>
      <c r="T66" s="57" t="str">
        <f>'List of Courses'!C60</f>
        <v>Real Estate &amp; Urban Planning Development</v>
      </c>
      <c r="U66" s="57">
        <f>'List of Courses'!D60</f>
        <v>3</v>
      </c>
      <c r="V66" s="57">
        <f>'List of Courses'!E60</f>
        <v>5</v>
      </c>
      <c r="W66" s="57">
        <f>'List of Courses'!F60</f>
        <v>125</v>
      </c>
      <c r="X66" s="57">
        <f>'List of Courses'!G60</f>
        <v>2</v>
      </c>
      <c r="Y66" s="57">
        <f>'List of Courses'!H60</f>
        <v>2</v>
      </c>
      <c r="Z66" s="57">
        <f>'List of Courses'!I60</f>
        <v>0</v>
      </c>
      <c r="AA66" s="57">
        <f>'List of Courses'!J60</f>
        <v>4</v>
      </c>
      <c r="AB66" s="57" t="str">
        <f>'List of Courses'!K60</f>
        <v>--</v>
      </c>
      <c r="AC66" s="57">
        <f>'List of Courses'!L60</f>
        <v>0</v>
      </c>
      <c r="AD66" s="57">
        <f>'List of Courses'!M60</f>
        <v>0</v>
      </c>
      <c r="AE66" s="57">
        <f>'List of Courses'!N60</f>
        <v>0</v>
      </c>
      <c r="AF66" s="57">
        <f>'List of Courses'!O60</f>
        <v>0</v>
      </c>
      <c r="AG66" s="57">
        <f>'List of Courses'!P60</f>
        <v>1</v>
      </c>
      <c r="AH66" s="1"/>
    </row>
    <row r="67" spans="2:34" x14ac:dyDescent="0.3">
      <c r="L67" s="1"/>
      <c r="M67" s="1"/>
      <c r="N67" s="1"/>
      <c r="O67" s="1"/>
      <c r="P67" s="1"/>
      <c r="Q67" s="1"/>
      <c r="R67" s="291"/>
      <c r="S67" s="57" t="str">
        <f>'List of Courses'!B62</f>
        <v>CVL437</v>
      </c>
      <c r="T67" s="57" t="str">
        <f>'List of Courses'!C62</f>
        <v>Building Information Modeling</v>
      </c>
      <c r="U67" s="57">
        <f>'List of Courses'!D62</f>
        <v>3</v>
      </c>
      <c r="V67" s="57">
        <f>'List of Courses'!E62</f>
        <v>5</v>
      </c>
      <c r="W67" s="57">
        <f>'List of Courses'!F62</f>
        <v>125</v>
      </c>
      <c r="X67" s="57">
        <f>'List of Courses'!G62</f>
        <v>1</v>
      </c>
      <c r="Y67" s="57">
        <f>'List of Courses'!H62</f>
        <v>2</v>
      </c>
      <c r="Z67" s="57">
        <f>'List of Courses'!I62</f>
        <v>2</v>
      </c>
      <c r="AA67" s="57">
        <f>'List of Courses'!J62</f>
        <v>5</v>
      </c>
      <c r="AB67" s="57" t="str">
        <f>'List of Courses'!K62</f>
        <v>--</v>
      </c>
      <c r="AC67" s="57">
        <f>'List of Courses'!L62</f>
        <v>0</v>
      </c>
      <c r="AD67" s="57">
        <f>'List of Courses'!M62</f>
        <v>0</v>
      </c>
      <c r="AE67" s="57">
        <f>'List of Courses'!N62</f>
        <v>0</v>
      </c>
      <c r="AF67" s="57">
        <f>'List of Courses'!O62</f>
        <v>0</v>
      </c>
      <c r="AG67" s="57">
        <f>'List of Courses'!P62</f>
        <v>1</v>
      </c>
      <c r="AH67" s="1"/>
    </row>
    <row r="68" spans="2:34" x14ac:dyDescent="0.3">
      <c r="Q68" s="1"/>
      <c r="R68" s="291"/>
      <c r="S68" s="57" t="str">
        <f>'List of Courses'!B66</f>
        <v>CVL462</v>
      </c>
      <c r="T68" s="57" t="str">
        <f>'List of Courses'!C66</f>
        <v>GIS in Smart Structures and Systems</v>
      </c>
      <c r="U68" s="57">
        <f>'List of Courses'!D66</f>
        <v>3</v>
      </c>
      <c r="V68" s="57">
        <f>'List of Courses'!E66</f>
        <v>5</v>
      </c>
      <c r="W68" s="57">
        <f>'List of Courses'!F66</f>
        <v>125</v>
      </c>
      <c r="X68" s="57">
        <f>'List of Courses'!G66</f>
        <v>2</v>
      </c>
      <c r="Y68" s="57">
        <f>'List of Courses'!H66</f>
        <v>2</v>
      </c>
      <c r="Z68" s="57">
        <f>'List of Courses'!I66</f>
        <v>0</v>
      </c>
      <c r="AA68" s="57">
        <f>'List of Courses'!J66</f>
        <v>4</v>
      </c>
      <c r="AB68" s="57" t="str">
        <f>'List of Courses'!K66</f>
        <v>--</v>
      </c>
      <c r="AC68" s="57">
        <f>'List of Courses'!L66</f>
        <v>0</v>
      </c>
      <c r="AD68" s="57">
        <f>'List of Courses'!M66</f>
        <v>0</v>
      </c>
      <c r="AE68" s="57">
        <f>'List of Courses'!N66</f>
        <v>0</v>
      </c>
      <c r="AF68" s="57">
        <f>'List of Courses'!O66</f>
        <v>0</v>
      </c>
      <c r="AG68" s="57">
        <f>'List of Courses'!P66</f>
        <v>1</v>
      </c>
      <c r="AH68" s="1"/>
    </row>
    <row r="69" spans="2:34" x14ac:dyDescent="0.3">
      <c r="L69" s="1"/>
      <c r="M69" s="1"/>
      <c r="N69" s="1"/>
      <c r="O69" s="1"/>
      <c r="P69" s="1"/>
      <c r="Q69" s="1"/>
      <c r="R69" s="291"/>
      <c r="S69" s="57" t="str">
        <f>'List of Courses'!B70</f>
        <v>IND252</v>
      </c>
      <c r="T69" s="57" t="str">
        <f>'List of Courses'!C70</f>
        <v>Operation Research I</v>
      </c>
      <c r="U69" s="57">
        <f>'List of Courses'!D70</f>
        <v>3</v>
      </c>
      <c r="V69" s="57">
        <f>'List of Courses'!E70</f>
        <v>5</v>
      </c>
      <c r="W69" s="57">
        <f>'List of Courses'!F70</f>
        <v>125</v>
      </c>
      <c r="X69" s="57">
        <f>'List of Courses'!G70</f>
        <v>2</v>
      </c>
      <c r="Y69" s="57">
        <f>'List of Courses'!H70</f>
        <v>2</v>
      </c>
      <c r="Z69" s="57">
        <f>'List of Courses'!I70</f>
        <v>0</v>
      </c>
      <c r="AA69" s="57">
        <f>'List of Courses'!J70</f>
        <v>4</v>
      </c>
      <c r="AB69" s="57" t="str">
        <f>'List of Courses'!K70</f>
        <v>MTH214</v>
      </c>
      <c r="AC69" s="57">
        <f>'List of Courses'!L70</f>
        <v>0</v>
      </c>
      <c r="AD69" s="57">
        <f>'List of Courses'!M70</f>
        <v>0</v>
      </c>
      <c r="AE69" s="57">
        <f>'List of Courses'!N70</f>
        <v>0</v>
      </c>
      <c r="AF69" s="57">
        <f>'List of Courses'!O70</f>
        <v>0</v>
      </c>
      <c r="AG69" s="57">
        <f>'List of Courses'!P70</f>
        <v>1</v>
      </c>
      <c r="AH69" s="1"/>
    </row>
    <row r="70" spans="2:34" x14ac:dyDescent="0.3">
      <c r="L70" s="1"/>
      <c r="M70" s="1"/>
      <c r="N70" s="1"/>
      <c r="O70" s="1"/>
      <c r="P70" s="1"/>
      <c r="Q70" s="1"/>
      <c r="R70" s="76"/>
      <c r="AH70" s="1"/>
    </row>
    <row r="71" spans="2:34" x14ac:dyDescent="0.3">
      <c r="B71" s="21"/>
      <c r="C71" s="21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U71" s="18"/>
    </row>
    <row r="72" spans="2:34" x14ac:dyDescent="0.3">
      <c r="B72" s="21"/>
      <c r="C72" s="21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301" t="s">
        <v>402</v>
      </c>
      <c r="S72" s="290" t="s">
        <v>17</v>
      </c>
      <c r="T72" s="290" t="s">
        <v>18</v>
      </c>
      <c r="U72" s="290" t="s">
        <v>1</v>
      </c>
      <c r="V72" s="290"/>
      <c r="W72" s="290"/>
      <c r="X72" s="290" t="s">
        <v>2</v>
      </c>
      <c r="Y72" s="290"/>
      <c r="Z72" s="290"/>
      <c r="AA72" s="290"/>
      <c r="AB72" s="288" t="s">
        <v>19</v>
      </c>
      <c r="AC72" s="288" t="s">
        <v>20</v>
      </c>
      <c r="AD72" s="288" t="s">
        <v>21</v>
      </c>
      <c r="AE72" s="289" t="s">
        <v>111</v>
      </c>
      <c r="AF72" s="288" t="s">
        <v>22</v>
      </c>
      <c r="AG72" s="288" t="s">
        <v>98</v>
      </c>
    </row>
    <row r="73" spans="2:34" x14ac:dyDescent="0.3">
      <c r="B73" s="21"/>
      <c r="C73" s="21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302"/>
      <c r="S73" s="290"/>
      <c r="T73" s="290"/>
      <c r="U73" s="16" t="s">
        <v>3</v>
      </c>
      <c r="V73" s="16" t="s">
        <v>4</v>
      </c>
      <c r="W73" s="16" t="s">
        <v>5</v>
      </c>
      <c r="X73" s="16" t="s">
        <v>6</v>
      </c>
      <c r="Y73" s="16" t="s">
        <v>7</v>
      </c>
      <c r="Z73" s="16" t="s">
        <v>8</v>
      </c>
      <c r="AA73" s="16" t="s">
        <v>9</v>
      </c>
      <c r="AB73" s="288"/>
      <c r="AC73" s="288"/>
      <c r="AD73" s="288"/>
      <c r="AE73" s="289"/>
      <c r="AF73" s="288"/>
      <c r="AG73" s="288"/>
    </row>
    <row r="74" spans="2:34" x14ac:dyDescent="0.3">
      <c r="B74" s="21"/>
      <c r="C74" s="21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302"/>
      <c r="S74" s="57" t="str">
        <f>'List of Courses'!B16</f>
        <v>MTH317</v>
      </c>
      <c r="T74" s="111" t="str">
        <f>'List of Courses'!C16</f>
        <v>Introduction to Mathematical Optimization</v>
      </c>
      <c r="U74" s="57">
        <f>'List of Courses'!D16</f>
        <v>3</v>
      </c>
      <c r="V74" s="57">
        <f>'List of Courses'!E16</f>
        <v>5</v>
      </c>
      <c r="W74" s="57">
        <f>'List of Courses'!F16</f>
        <v>125</v>
      </c>
      <c r="X74" s="57">
        <f>'List of Courses'!G16</f>
        <v>2</v>
      </c>
      <c r="Y74" s="57">
        <f>'List of Courses'!H16</f>
        <v>2</v>
      </c>
      <c r="Z74" s="57">
        <f>'List of Courses'!I16</f>
        <v>0</v>
      </c>
      <c r="AA74" s="57">
        <f>'List of Courses'!J61</f>
        <v>4</v>
      </c>
      <c r="AB74" s="57" t="str">
        <f>'List of Courses'!K16</f>
        <v>MTH214</v>
      </c>
      <c r="AC74" s="57">
        <f>'List of Courses'!L16</f>
        <v>0</v>
      </c>
      <c r="AD74" s="57">
        <f>'List of Courses'!M16</f>
        <v>0</v>
      </c>
      <c r="AE74" s="57">
        <f>'List of Courses'!N16</f>
        <v>0</v>
      </c>
      <c r="AF74" s="57">
        <f>'List of Courses'!O16</f>
        <v>1</v>
      </c>
      <c r="AG74" s="57">
        <f>'List of Courses'!P16</f>
        <v>0</v>
      </c>
    </row>
    <row r="75" spans="2:34" x14ac:dyDescent="0.3">
      <c r="B75" s="21"/>
      <c r="C75" s="21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302"/>
      <c r="S75" s="57" t="str">
        <f>'List of Courses'!B17</f>
        <v>MTH318</v>
      </c>
      <c r="T75" s="111" t="str">
        <f>'List of Courses'!C17</f>
        <v>Advanced Numerical Analysis</v>
      </c>
      <c r="U75" s="57">
        <f>'List of Courses'!D17</f>
        <v>3</v>
      </c>
      <c r="V75" s="57">
        <f>'List of Courses'!E17</f>
        <v>5</v>
      </c>
      <c r="W75" s="57">
        <f>'List of Courses'!F17</f>
        <v>125</v>
      </c>
      <c r="X75" s="57">
        <f>'List of Courses'!G17</f>
        <v>2</v>
      </c>
      <c r="Y75" s="57">
        <f>'List of Courses'!H17</f>
        <v>2</v>
      </c>
      <c r="Z75" s="57">
        <f>'List of Courses'!I17</f>
        <v>0</v>
      </c>
      <c r="AA75" s="57">
        <f>'List of Courses'!J80</f>
        <v>0</v>
      </c>
      <c r="AB75" s="57" t="str">
        <f>'List of Courses'!K17</f>
        <v>MTH112 &amp; MTH113</v>
      </c>
      <c r="AC75" s="57">
        <f>'List of Courses'!L17</f>
        <v>0</v>
      </c>
      <c r="AD75" s="57">
        <f>'List of Courses'!M17</f>
        <v>0</v>
      </c>
      <c r="AE75" s="57">
        <f>'List of Courses'!N17</f>
        <v>0</v>
      </c>
      <c r="AF75" s="57">
        <f>'List of Courses'!O17</f>
        <v>1</v>
      </c>
      <c r="AG75" s="57">
        <f>'List of Courses'!P17</f>
        <v>0</v>
      </c>
    </row>
    <row r="76" spans="2:34" x14ac:dyDescent="0.3">
      <c r="B76" s="21"/>
      <c r="C76" s="21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303"/>
      <c r="S76" s="57" t="str">
        <f>'List of Courses'!B18</f>
        <v>MTH319</v>
      </c>
      <c r="T76" s="111" t="str">
        <f>'List of Courses'!C18</f>
        <v>Advanced Probability and Statistics</v>
      </c>
      <c r="U76" s="57">
        <f>'List of Courses'!D18</f>
        <v>3</v>
      </c>
      <c r="V76" s="57">
        <f>'List of Courses'!E18</f>
        <v>5</v>
      </c>
      <c r="W76" s="57">
        <f>'List of Courses'!F18</f>
        <v>125</v>
      </c>
      <c r="X76" s="57">
        <f>'List of Courses'!G18</f>
        <v>2</v>
      </c>
      <c r="Y76" s="57">
        <f>'List of Courses'!H18</f>
        <v>2</v>
      </c>
      <c r="Z76" s="57">
        <f>'List of Courses'!I18</f>
        <v>0</v>
      </c>
      <c r="AA76" s="57">
        <f>'List of Courses'!J66</f>
        <v>4</v>
      </c>
      <c r="AB76" s="57" t="str">
        <f>'List of Courses'!K18</f>
        <v>MTH216</v>
      </c>
      <c r="AC76" s="57">
        <f>'List of Courses'!L18</f>
        <v>0</v>
      </c>
      <c r="AD76" s="57">
        <f>'List of Courses'!M18</f>
        <v>0</v>
      </c>
      <c r="AE76" s="57">
        <f>'List of Courses'!N18</f>
        <v>0</v>
      </c>
      <c r="AF76" s="57">
        <f>'List of Courses'!O18</f>
        <v>1</v>
      </c>
      <c r="AG76" s="57">
        <f>'List of Courses'!P18</f>
        <v>0</v>
      </c>
    </row>
    <row r="80" spans="2:34" x14ac:dyDescent="0.3">
      <c r="D80" s="14"/>
      <c r="E80" s="14"/>
      <c r="F80" s="14"/>
      <c r="G80" s="14"/>
      <c r="H80" s="14"/>
      <c r="I80" s="14"/>
      <c r="J80" s="14"/>
      <c r="K80" s="15"/>
      <c r="L80" s="6"/>
      <c r="M80" s="6"/>
      <c r="N80" s="6"/>
      <c r="O80" s="6"/>
      <c r="P80" s="6"/>
      <c r="Q80" s="6"/>
    </row>
    <row r="81" spans="4:17" x14ac:dyDescent="0.3">
      <c r="D81" s="14"/>
      <c r="E81" s="14"/>
      <c r="F81" s="14"/>
      <c r="G81" s="14"/>
      <c r="H81" s="14"/>
      <c r="I81" s="14"/>
      <c r="J81" s="14"/>
      <c r="K81" s="15"/>
      <c r="L81" s="6"/>
      <c r="M81" s="6"/>
      <c r="N81" s="6"/>
      <c r="O81" s="6"/>
      <c r="P81" s="6"/>
      <c r="Q81" s="6"/>
    </row>
  </sheetData>
  <mergeCells count="113">
    <mergeCell ref="AF72:AF73"/>
    <mergeCell ref="AG72:AG73"/>
    <mergeCell ref="R72:R76"/>
    <mergeCell ref="S72:S73"/>
    <mergeCell ref="T72:T73"/>
    <mergeCell ref="U72:W72"/>
    <mergeCell ref="X72:AA72"/>
    <mergeCell ref="AB72:AB73"/>
    <mergeCell ref="AC72:AC73"/>
    <mergeCell ref="AD72:AD73"/>
    <mergeCell ref="AE72:AE73"/>
    <mergeCell ref="N12:N13"/>
    <mergeCell ref="C2:C3"/>
    <mergeCell ref="D2:F2"/>
    <mergeCell ref="G2:J2"/>
    <mergeCell ref="K2:K3"/>
    <mergeCell ref="L2:L3"/>
    <mergeCell ref="M2:M3"/>
    <mergeCell ref="AF12:AF13"/>
    <mergeCell ref="AG12:AG13"/>
    <mergeCell ref="S2:AH5"/>
    <mergeCell ref="AH12:AH13"/>
    <mergeCell ref="AB12:AB13"/>
    <mergeCell ref="AC12:AC13"/>
    <mergeCell ref="AD12:AD13"/>
    <mergeCell ref="AE12:AE13"/>
    <mergeCell ref="U12:W12"/>
    <mergeCell ref="X12:AA12"/>
    <mergeCell ref="O12:O13"/>
    <mergeCell ref="P12:P13"/>
    <mergeCell ref="Q12:Q13"/>
    <mergeCell ref="R12:R21"/>
    <mergeCell ref="S12:S13"/>
    <mergeCell ref="T12:T13"/>
    <mergeCell ref="A12:A21"/>
    <mergeCell ref="B12:B13"/>
    <mergeCell ref="C12:C13"/>
    <mergeCell ref="D12:F12"/>
    <mergeCell ref="G12:J12"/>
    <mergeCell ref="K12:K13"/>
    <mergeCell ref="L12:L13"/>
    <mergeCell ref="M12:M13"/>
    <mergeCell ref="A36:A45"/>
    <mergeCell ref="B36:B37"/>
    <mergeCell ref="C36:C37"/>
    <mergeCell ref="D36:F36"/>
    <mergeCell ref="G36:J36"/>
    <mergeCell ref="U24:W24"/>
    <mergeCell ref="X24:AA24"/>
    <mergeCell ref="A24:A33"/>
    <mergeCell ref="B24:B25"/>
    <mergeCell ref="C24:C25"/>
    <mergeCell ref="D24:F24"/>
    <mergeCell ref="G24:J24"/>
    <mergeCell ref="K36:K37"/>
    <mergeCell ref="L36:L37"/>
    <mergeCell ref="M36:M37"/>
    <mergeCell ref="K24:K25"/>
    <mergeCell ref="L24:L25"/>
    <mergeCell ref="N36:N37"/>
    <mergeCell ref="O36:O37"/>
    <mergeCell ref="P36:P37"/>
    <mergeCell ref="M24:M25"/>
    <mergeCell ref="N24:N25"/>
    <mergeCell ref="O24:O25"/>
    <mergeCell ref="P24:P25"/>
    <mergeCell ref="Q24:Q25"/>
    <mergeCell ref="R24:R33"/>
    <mergeCell ref="X36:AA36"/>
    <mergeCell ref="AD24:AD25"/>
    <mergeCell ref="AE24:AE25"/>
    <mergeCell ref="O48:O49"/>
    <mergeCell ref="P48:P49"/>
    <mergeCell ref="Q48:Q49"/>
    <mergeCell ref="AH36:AH37"/>
    <mergeCell ref="AB36:AB37"/>
    <mergeCell ref="AC36:AC37"/>
    <mergeCell ref="AD36:AD37"/>
    <mergeCell ref="AE36:AE37"/>
    <mergeCell ref="AF36:AF37"/>
    <mergeCell ref="AG36:AG37"/>
    <mergeCell ref="Q36:Q37"/>
    <mergeCell ref="R36:R45"/>
    <mergeCell ref="S36:S37"/>
    <mergeCell ref="T36:T37"/>
    <mergeCell ref="U36:W36"/>
    <mergeCell ref="AF24:AF25"/>
    <mergeCell ref="AG24:AG25"/>
    <mergeCell ref="AH24:AH25"/>
    <mergeCell ref="AB24:AB25"/>
    <mergeCell ref="AC24:AC25"/>
    <mergeCell ref="S24:S25"/>
    <mergeCell ref="T24:T25"/>
    <mergeCell ref="R59:R69"/>
    <mergeCell ref="A48:A56"/>
    <mergeCell ref="B48:B49"/>
    <mergeCell ref="C48:C49"/>
    <mergeCell ref="D48:F48"/>
    <mergeCell ref="G48:J48"/>
    <mergeCell ref="K48:K49"/>
    <mergeCell ref="L48:L49"/>
    <mergeCell ref="M48:M49"/>
    <mergeCell ref="N48:N49"/>
    <mergeCell ref="AD59:AD60"/>
    <mergeCell ref="AE59:AE60"/>
    <mergeCell ref="AF59:AF60"/>
    <mergeCell ref="AG59:AG60"/>
    <mergeCell ref="S59:S60"/>
    <mergeCell ref="T59:T60"/>
    <mergeCell ref="U59:W59"/>
    <mergeCell ref="X59:AA59"/>
    <mergeCell ref="AB59:AB60"/>
    <mergeCell ref="AC59:AC60"/>
  </mergeCells>
  <conditionalFormatting sqref="D22">
    <cfRule type="cellIs" dxfId="37" priority="33" operator="greaterThan">
      <formula>18</formula>
    </cfRule>
  </conditionalFormatting>
  <conditionalFormatting sqref="D34">
    <cfRule type="cellIs" dxfId="36" priority="25" operator="greaterThan">
      <formula>18</formula>
    </cfRule>
  </conditionalFormatting>
  <conditionalFormatting sqref="D46">
    <cfRule type="cellIs" dxfId="35" priority="5" operator="greaterThan">
      <formula>18</formula>
    </cfRule>
  </conditionalFormatting>
  <conditionalFormatting sqref="D57">
    <cfRule type="cellIs" dxfId="34" priority="1" operator="greaterThan">
      <formula>18</formula>
    </cfRule>
  </conditionalFormatting>
  <conditionalFormatting sqref="E22">
    <cfRule type="cellIs" dxfId="33" priority="34" operator="greaterThan">
      <formula>30</formula>
    </cfRule>
  </conditionalFormatting>
  <conditionalFormatting sqref="E34">
    <cfRule type="cellIs" dxfId="32" priority="26" operator="greaterThan">
      <formula>30</formula>
    </cfRule>
  </conditionalFormatting>
  <conditionalFormatting sqref="E46">
    <cfRule type="cellIs" dxfId="31" priority="6" operator="greaterThan">
      <formula>30</formula>
    </cfRule>
  </conditionalFormatting>
  <conditionalFormatting sqref="E57">
    <cfRule type="cellIs" dxfId="30" priority="2" operator="greaterThan">
      <formula>30</formula>
    </cfRule>
  </conditionalFormatting>
  <conditionalFormatting sqref="F22">
    <cfRule type="cellIs" dxfId="29" priority="42" operator="greaterThan">
      <formula>750</formula>
    </cfRule>
  </conditionalFormatting>
  <conditionalFormatting sqref="F34">
    <cfRule type="cellIs" dxfId="28" priority="40" operator="greaterThan">
      <formula>750</formula>
    </cfRule>
  </conditionalFormatting>
  <conditionalFormatting sqref="F46">
    <cfRule type="cellIs" dxfId="27" priority="7" operator="greaterThan">
      <formula>750</formula>
    </cfRule>
  </conditionalFormatting>
  <conditionalFormatting sqref="F57">
    <cfRule type="cellIs" dxfId="26" priority="3" operator="greaterThan">
      <formula>750</formula>
    </cfRule>
  </conditionalFormatting>
  <conditionalFormatting sqref="J22">
    <cfRule type="cellIs" dxfId="25" priority="50" operator="greaterThan">
      <formula>25</formula>
    </cfRule>
  </conditionalFormatting>
  <conditionalFormatting sqref="J34">
    <cfRule type="cellIs" dxfId="24" priority="49" operator="greaterThan">
      <formula>25</formula>
    </cfRule>
  </conditionalFormatting>
  <conditionalFormatting sqref="J46">
    <cfRule type="cellIs" dxfId="23" priority="8" operator="greaterThan">
      <formula>25</formula>
    </cfRule>
  </conditionalFormatting>
  <conditionalFormatting sqref="J57">
    <cfRule type="cellIs" dxfId="22" priority="4" operator="greaterThan">
      <formula>25</formula>
    </cfRule>
  </conditionalFormatting>
  <conditionalFormatting sqref="M4">
    <cfRule type="cellIs" dxfId="21" priority="18" operator="lessThan">
      <formula>$L$4</formula>
    </cfRule>
  </conditionalFormatting>
  <conditionalFormatting sqref="M5">
    <cfRule type="cellIs" dxfId="20" priority="17" operator="lessThan">
      <formula>$L$5</formula>
    </cfRule>
  </conditionalFormatting>
  <conditionalFormatting sqref="M6">
    <cfRule type="cellIs" dxfId="19" priority="16" operator="lessThan">
      <formula>$L$6</formula>
    </cfRule>
  </conditionalFormatting>
  <conditionalFormatting sqref="M7">
    <cfRule type="cellIs" dxfId="18" priority="15" operator="lessThan">
      <formula>$L$7</formula>
    </cfRule>
  </conditionalFormatting>
  <conditionalFormatting sqref="M8">
    <cfRule type="cellIs" dxfId="17" priority="14" operator="greaterThan">
      <formula>$L$8</formula>
    </cfRule>
  </conditionalFormatting>
  <conditionalFormatting sqref="M9">
    <cfRule type="cellIs" dxfId="16" priority="13" operator="lessThan">
      <formula>$L$9</formula>
    </cfRule>
  </conditionalFormatting>
  <conditionalFormatting sqref="U22">
    <cfRule type="cellIs" dxfId="15" priority="31" operator="greaterThan">
      <formula>18</formula>
    </cfRule>
  </conditionalFormatting>
  <conditionalFormatting sqref="U34">
    <cfRule type="cellIs" dxfId="14" priority="23" operator="greaterThan">
      <formula>18</formula>
    </cfRule>
  </conditionalFormatting>
  <conditionalFormatting sqref="U46">
    <cfRule type="cellIs" dxfId="13" priority="9" operator="greaterThan">
      <formula>18</formula>
    </cfRule>
  </conditionalFormatting>
  <conditionalFormatting sqref="U57">
    <cfRule type="cellIs" dxfId="12" priority="19" operator="greaterThan">
      <formula>18</formula>
    </cfRule>
  </conditionalFormatting>
  <conditionalFormatting sqref="V22">
    <cfRule type="cellIs" dxfId="11" priority="32" operator="greaterThan">
      <formula>30</formula>
    </cfRule>
  </conditionalFormatting>
  <conditionalFormatting sqref="V34">
    <cfRule type="cellIs" dxfId="10" priority="24" operator="greaterThan">
      <formula>30</formula>
    </cfRule>
  </conditionalFormatting>
  <conditionalFormatting sqref="V46">
    <cfRule type="cellIs" dxfId="9" priority="10" operator="greaterThan">
      <formula>30</formula>
    </cfRule>
  </conditionalFormatting>
  <conditionalFormatting sqref="V57">
    <cfRule type="cellIs" dxfId="8" priority="20" operator="greaterThan">
      <formula>30</formula>
    </cfRule>
  </conditionalFormatting>
  <conditionalFormatting sqref="W22">
    <cfRule type="cellIs" dxfId="7" priority="41" operator="greaterThan">
      <formula>750</formula>
    </cfRule>
  </conditionalFormatting>
  <conditionalFormatting sqref="W34">
    <cfRule type="cellIs" dxfId="6" priority="39" operator="greaterThan">
      <formula>750</formula>
    </cfRule>
  </conditionalFormatting>
  <conditionalFormatting sqref="W46">
    <cfRule type="cellIs" dxfId="5" priority="11" operator="greaterThan">
      <formula>750</formula>
    </cfRule>
  </conditionalFormatting>
  <conditionalFormatting sqref="W57">
    <cfRule type="cellIs" dxfId="4" priority="35" operator="greaterThan">
      <formula>750</formula>
    </cfRule>
  </conditionalFormatting>
  <conditionalFormatting sqref="AA22">
    <cfRule type="cellIs" dxfId="3" priority="43" operator="greaterThan">
      <formula>25</formula>
    </cfRule>
  </conditionalFormatting>
  <conditionalFormatting sqref="AA34">
    <cfRule type="cellIs" dxfId="2" priority="44" operator="greaterThan">
      <formula>25</formula>
    </cfRule>
  </conditionalFormatting>
  <conditionalFormatting sqref="AA46">
    <cfRule type="cellIs" dxfId="1" priority="12" operator="greaterThan">
      <formula>25</formula>
    </cfRule>
  </conditionalFormatting>
  <conditionalFormatting sqref="AA57">
    <cfRule type="cellIs" dxfId="0" priority="46" operator="greaterThan">
      <formula>25</formula>
    </cfRule>
  </conditionalFormatting>
  <printOptions horizontalCentered="1" verticalCentered="1"/>
  <pageMargins left="0.16" right="0.25" top="0.16" bottom="0.16" header="0.16" footer="0.16"/>
  <pageSetup paperSize="9" scale="41" fitToHeight="0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35095A-6A76-48F1-9781-C52F786A0A75}">
  <sheetPr>
    <tabColor rgb="FFFFFF00"/>
  </sheetPr>
  <dimension ref="B2:Q26"/>
  <sheetViews>
    <sheetView zoomScale="70" zoomScaleNormal="70" workbookViewId="0">
      <selection activeCell="E31" sqref="E31"/>
    </sheetView>
  </sheetViews>
  <sheetFormatPr defaultRowHeight="14.4" x14ac:dyDescent="0.3"/>
  <cols>
    <col min="3" max="3" width="16" bestFit="1" customWidth="1"/>
    <col min="4" max="4" width="25.5546875" customWidth="1"/>
    <col min="10" max="10" width="13.5546875" customWidth="1"/>
    <col min="11" max="11" width="10.109375" customWidth="1"/>
    <col min="12" max="12" width="10.44140625" customWidth="1"/>
    <col min="16" max="16" width="9.6640625" bestFit="1" customWidth="1"/>
    <col min="21" max="21" width="35.6640625" bestFit="1" customWidth="1"/>
  </cols>
  <sheetData>
    <row r="2" spans="2:17" x14ac:dyDescent="0.3">
      <c r="D2" s="198" t="s">
        <v>202</v>
      </c>
      <c r="E2" s="210">
        <f>'CCE Major-1 (8 S)'!D10</f>
        <v>144</v>
      </c>
      <c r="G2" s="222"/>
      <c r="H2" s="222"/>
      <c r="J2" s="200"/>
      <c r="K2" s="200" t="s">
        <v>238</v>
      </c>
      <c r="L2" s="200" t="s">
        <v>239</v>
      </c>
      <c r="M2" s="200" t="s">
        <v>240</v>
      </c>
      <c r="N2" s="200" t="s">
        <v>241</v>
      </c>
    </row>
    <row r="3" spans="2:17" x14ac:dyDescent="0.3">
      <c r="D3" s="227" t="s">
        <v>203</v>
      </c>
      <c r="E3" s="228">
        <f>'CCE Major-1 (8 S)'!E10</f>
        <v>240</v>
      </c>
      <c r="J3" s="223" t="s">
        <v>213</v>
      </c>
      <c r="K3" s="228">
        <f>'CCE Major-1 (8 S)'!G10</f>
        <v>94</v>
      </c>
      <c r="L3" s="228">
        <f>'CCE Major-1 (8 S)'!H10</f>
        <v>70</v>
      </c>
      <c r="M3" s="228">
        <f>'CCE Major-1 (8 S)'!I10</f>
        <v>31</v>
      </c>
      <c r="N3" s="228">
        <f>'CCE Major-1 (8 S)'!J10</f>
        <v>195</v>
      </c>
    </row>
    <row r="4" spans="2:17" x14ac:dyDescent="0.3">
      <c r="D4" s="229" t="s">
        <v>204</v>
      </c>
      <c r="E4" s="223">
        <f>SUM(O9:O12)</f>
        <v>50</v>
      </c>
      <c r="F4" t="s">
        <v>205</v>
      </c>
      <c r="J4" s="223" t="s">
        <v>214</v>
      </c>
      <c r="K4" s="228">
        <f>'CCE Major-2 (8 S)'!G10</f>
        <v>94</v>
      </c>
      <c r="L4" s="228">
        <f>'CCE Major-2 (8 S)'!H10</f>
        <v>70</v>
      </c>
      <c r="M4" s="228">
        <f>'CCE Major-2 (8 S)'!I10</f>
        <v>31</v>
      </c>
      <c r="N4" s="228">
        <f>'CCE Major-2 (8 S)'!J10</f>
        <v>195</v>
      </c>
    </row>
    <row r="5" spans="2:17" x14ac:dyDescent="0.3">
      <c r="D5" s="220"/>
      <c r="E5" s="220"/>
      <c r="F5" s="220"/>
    </row>
    <row r="6" spans="2:17" x14ac:dyDescent="0.3">
      <c r="D6" s="220"/>
    </row>
    <row r="7" spans="2:17" x14ac:dyDescent="0.3">
      <c r="D7" s="200"/>
      <c r="E7" s="221" t="s">
        <v>3</v>
      </c>
      <c r="F7" s="221" t="s">
        <v>4</v>
      </c>
      <c r="G7" s="221" t="s">
        <v>3</v>
      </c>
      <c r="H7" s="221" t="s">
        <v>4</v>
      </c>
      <c r="J7" s="221" t="s">
        <v>3</v>
      </c>
      <c r="K7" s="221" t="s">
        <v>4</v>
      </c>
      <c r="L7" s="221" t="s">
        <v>3</v>
      </c>
      <c r="M7" s="221" t="s">
        <v>4</v>
      </c>
      <c r="O7" s="221" t="s">
        <v>243</v>
      </c>
      <c r="P7" s="221" t="s">
        <v>244</v>
      </c>
    </row>
    <row r="8" spans="2:17" ht="39.6" x14ac:dyDescent="0.3">
      <c r="B8" t="s">
        <v>208</v>
      </c>
      <c r="D8" s="200"/>
      <c r="E8" s="199" t="s">
        <v>213</v>
      </c>
      <c r="F8" s="199" t="s">
        <v>213</v>
      </c>
      <c r="G8" s="199" t="s">
        <v>214</v>
      </c>
      <c r="H8" s="199" t="s">
        <v>214</v>
      </c>
      <c r="J8" s="199" t="s">
        <v>215</v>
      </c>
      <c r="K8" s="199" t="s">
        <v>217</v>
      </c>
      <c r="L8" s="199" t="s">
        <v>216</v>
      </c>
      <c r="M8" s="199" t="s">
        <v>218</v>
      </c>
      <c r="O8" s="199" t="s">
        <v>242</v>
      </c>
      <c r="P8" s="199" t="s">
        <v>242</v>
      </c>
      <c r="Q8" s="28"/>
    </row>
    <row r="9" spans="2:17" x14ac:dyDescent="0.3">
      <c r="B9" s="9"/>
      <c r="C9" t="s">
        <v>206</v>
      </c>
      <c r="D9" s="200" t="s">
        <v>207</v>
      </c>
      <c r="E9" s="199">
        <f>'CCE Major-1 (8 S)'!D4</f>
        <v>12</v>
      </c>
      <c r="F9" s="199">
        <f>'CCE Major-1 (8 S)'!E4</f>
        <v>20</v>
      </c>
      <c r="G9" s="199">
        <f>'CCE Major-2 (8 S)'!D4</f>
        <v>12</v>
      </c>
      <c r="H9" s="199">
        <f>'CCE Major-2 (8 S)'!E4</f>
        <v>20</v>
      </c>
      <c r="J9" s="219">
        <f>E9/$E$2</f>
        <v>8.3333333333333329E-2</v>
      </c>
      <c r="K9" s="226">
        <f>F9/$E$3</f>
        <v>8.3333333333333329E-2</v>
      </c>
      <c r="L9" s="219">
        <f>G9/$E$2</f>
        <v>8.3333333333333329E-2</v>
      </c>
      <c r="M9" s="226">
        <f>H9/$E$3</f>
        <v>8.3333333333333329E-2</v>
      </c>
      <c r="O9" s="224">
        <f>E9/3</f>
        <v>4</v>
      </c>
      <c r="P9" s="3">
        <f>G9/3</f>
        <v>4</v>
      </c>
      <c r="Q9" s="201"/>
    </row>
    <row r="10" spans="2:17" x14ac:dyDescent="0.3">
      <c r="B10" s="85"/>
      <c r="C10" t="s">
        <v>209</v>
      </c>
      <c r="D10" s="200" t="s">
        <v>210</v>
      </c>
      <c r="E10" s="199">
        <f>'CCE Major-1 (8 S)'!D5</f>
        <v>30</v>
      </c>
      <c r="F10" s="199">
        <f>'CCE Major-1 (8 S)'!E5</f>
        <v>50</v>
      </c>
      <c r="G10" s="199">
        <f>'CCE Major-2 (8 S)'!D5</f>
        <v>30</v>
      </c>
      <c r="H10" s="199">
        <f>'CCE Major-2 (8 S)'!E5</f>
        <v>50</v>
      </c>
      <c r="J10" s="219">
        <f t="shared" ref="J10:J14" si="0">E10/$E$2</f>
        <v>0.20833333333333334</v>
      </c>
      <c r="K10" s="226">
        <f t="shared" ref="K10:K14" si="1">F10/$E$3</f>
        <v>0.20833333333333334</v>
      </c>
      <c r="L10" s="219">
        <f t="shared" ref="L10:L14" si="2">G10/$E$2</f>
        <v>0.20833333333333334</v>
      </c>
      <c r="M10" s="226">
        <f t="shared" ref="M10:M14" si="3">H10/$E$3</f>
        <v>0.20833333333333334</v>
      </c>
      <c r="O10" s="224">
        <f t="shared" ref="O10:O14" si="4">E10/3</f>
        <v>10</v>
      </c>
      <c r="P10" s="3">
        <f t="shared" ref="P10:P14" si="5">G10/3</f>
        <v>10</v>
      </c>
      <c r="Q10" s="28"/>
    </row>
    <row r="11" spans="2:17" x14ac:dyDescent="0.3">
      <c r="B11" s="87"/>
      <c r="C11" t="s">
        <v>211</v>
      </c>
      <c r="D11" s="200" t="s">
        <v>233</v>
      </c>
      <c r="E11" s="199">
        <f>'CCE Major-1 (8 S)'!D7</f>
        <v>66</v>
      </c>
      <c r="F11" s="199">
        <f>'CCE Major-1 (8 S)'!E7</f>
        <v>110</v>
      </c>
      <c r="G11" s="199">
        <f>'CCE Major-2 (8 S)'!D7</f>
        <v>66</v>
      </c>
      <c r="H11" s="199">
        <f>'CCE Major-2 (8 S)'!E7</f>
        <v>110</v>
      </c>
      <c r="J11" s="219">
        <f>E11/$E$2</f>
        <v>0.45833333333333331</v>
      </c>
      <c r="K11" s="226">
        <f t="shared" si="1"/>
        <v>0.45833333333333331</v>
      </c>
      <c r="L11" s="219">
        <f t="shared" si="2"/>
        <v>0.45833333333333331</v>
      </c>
      <c r="M11" s="226">
        <f t="shared" si="3"/>
        <v>0.45833333333333331</v>
      </c>
      <c r="O11" s="224">
        <f>2+E11/3</f>
        <v>24</v>
      </c>
      <c r="P11" s="3">
        <f>2+G11/3</f>
        <v>24</v>
      </c>
      <c r="Q11" s="28"/>
    </row>
    <row r="12" spans="2:17" x14ac:dyDescent="0.3">
      <c r="B12" s="88"/>
      <c r="C12" t="s">
        <v>212</v>
      </c>
      <c r="D12" s="200" t="s">
        <v>234</v>
      </c>
      <c r="E12" s="199">
        <f>'CCE Major-1 (8 S)'!D8</f>
        <v>36</v>
      </c>
      <c r="F12" s="199">
        <f>'CCE Major-1 (8 S)'!E8</f>
        <v>60</v>
      </c>
      <c r="G12" s="199">
        <f>'CCE Major-2 (8 S)'!D8</f>
        <v>36</v>
      </c>
      <c r="H12" s="199">
        <f>'CCE Major-2 (8 S)'!E8</f>
        <v>60</v>
      </c>
      <c r="J12" s="219">
        <f t="shared" si="0"/>
        <v>0.25</v>
      </c>
      <c r="K12" s="226">
        <f t="shared" si="1"/>
        <v>0.25</v>
      </c>
      <c r="L12" s="219">
        <f t="shared" si="2"/>
        <v>0.25</v>
      </c>
      <c r="M12" s="226">
        <f t="shared" si="3"/>
        <v>0.25</v>
      </c>
      <c r="O12" s="224">
        <f t="shared" si="4"/>
        <v>12</v>
      </c>
      <c r="P12" s="3">
        <f t="shared" si="5"/>
        <v>12</v>
      </c>
      <c r="Q12" s="28"/>
    </row>
    <row r="13" spans="2:17" x14ac:dyDescent="0.3">
      <c r="B13" s="86"/>
      <c r="C13" s="205" t="s">
        <v>228</v>
      </c>
      <c r="D13" s="200" t="s">
        <v>236</v>
      </c>
      <c r="E13" s="199">
        <f>'CCE Major-1 (8 S)'!D6</f>
        <v>27</v>
      </c>
      <c r="F13" s="199">
        <f>'CCE Major-1 (8 S)'!E6</f>
        <v>45</v>
      </c>
      <c r="G13" s="199">
        <f>'CCE Major-2 (8 S)'!D6</f>
        <v>27</v>
      </c>
      <c r="H13" s="199">
        <f>'CCE Major-2 (8 S)'!E6</f>
        <v>45</v>
      </c>
      <c r="J13" s="219">
        <f t="shared" si="0"/>
        <v>0.1875</v>
      </c>
      <c r="K13" s="226">
        <f t="shared" si="1"/>
        <v>0.1875</v>
      </c>
      <c r="L13" s="219">
        <f t="shared" si="2"/>
        <v>0.1875</v>
      </c>
      <c r="M13" s="226">
        <f t="shared" si="3"/>
        <v>0.1875</v>
      </c>
      <c r="O13" s="224">
        <f t="shared" si="4"/>
        <v>9</v>
      </c>
      <c r="P13" s="3">
        <f t="shared" si="5"/>
        <v>9</v>
      </c>
      <c r="Q13" s="202"/>
    </row>
    <row r="14" spans="2:17" x14ac:dyDescent="0.3">
      <c r="B14" s="89"/>
      <c r="C14" t="s">
        <v>115</v>
      </c>
      <c r="D14" s="200" t="s">
        <v>237</v>
      </c>
      <c r="E14" s="199">
        <f>'CCE Major-1 (8 S)'!D9</f>
        <v>24</v>
      </c>
      <c r="F14" s="199">
        <f>'CCE Major-1 (8 S)'!E9</f>
        <v>40</v>
      </c>
      <c r="G14" s="199">
        <f>'CCE Major-2 (8 S)'!D9</f>
        <v>24</v>
      </c>
      <c r="H14" s="199">
        <f>'CCE Major-2 (8 S)'!E9</f>
        <v>40</v>
      </c>
      <c r="J14" s="219">
        <f t="shared" si="0"/>
        <v>0.16666666666666666</v>
      </c>
      <c r="K14" s="226">
        <f t="shared" si="1"/>
        <v>0.16666666666666666</v>
      </c>
      <c r="L14" s="219">
        <f t="shared" si="2"/>
        <v>0.16666666666666666</v>
      </c>
      <c r="M14" s="226">
        <f t="shared" si="3"/>
        <v>0.16666666666666666</v>
      </c>
      <c r="O14" s="224">
        <f t="shared" si="4"/>
        <v>8</v>
      </c>
      <c r="P14" s="3">
        <f t="shared" si="5"/>
        <v>8</v>
      </c>
    </row>
    <row r="15" spans="2:17" x14ac:dyDescent="0.3">
      <c r="D15" s="203"/>
    </row>
    <row r="17" spans="2:13" x14ac:dyDescent="0.3">
      <c r="D17" s="204"/>
      <c r="E17" s="221" t="s">
        <v>3</v>
      </c>
      <c r="F17" s="221" t="s">
        <v>4</v>
      </c>
      <c r="G17" s="221" t="s">
        <v>3</v>
      </c>
      <c r="H17" s="221" t="s">
        <v>4</v>
      </c>
      <c r="J17" s="221" t="s">
        <v>3</v>
      </c>
      <c r="K17" s="221" t="s">
        <v>4</v>
      </c>
      <c r="L17" s="221" t="s">
        <v>3</v>
      </c>
      <c r="M17" s="221" t="s">
        <v>4</v>
      </c>
    </row>
    <row r="18" spans="2:13" ht="39.6" x14ac:dyDescent="0.3">
      <c r="B18" s="211" t="s">
        <v>235</v>
      </c>
      <c r="C18" s="211"/>
      <c r="D18" s="204"/>
      <c r="E18" s="199" t="s">
        <v>213</v>
      </c>
      <c r="F18" s="199" t="s">
        <v>213</v>
      </c>
      <c r="G18" s="199" t="s">
        <v>214</v>
      </c>
      <c r="H18" s="199" t="s">
        <v>214</v>
      </c>
      <c r="J18" s="199" t="s">
        <v>215</v>
      </c>
      <c r="K18" s="199" t="s">
        <v>217</v>
      </c>
      <c r="L18" s="199" t="s">
        <v>216</v>
      </c>
      <c r="M18" s="199" t="s">
        <v>218</v>
      </c>
    </row>
    <row r="19" spans="2:13" x14ac:dyDescent="0.3">
      <c r="B19" s="212"/>
      <c r="C19" s="205" t="s">
        <v>226</v>
      </c>
      <c r="D19" s="206" t="s">
        <v>219</v>
      </c>
      <c r="E19" s="199" t="e">
        <f>'Major-1 (Competencies)'!#REF!</f>
        <v>#REF!</v>
      </c>
      <c r="F19" s="199" t="e">
        <f>'Major-1 (Competencies)'!#REF!</f>
        <v>#REF!</v>
      </c>
      <c r="G19" s="199" t="e">
        <f>'Major-2 (Competencies)'!#REF!</f>
        <v>#REF!</v>
      </c>
      <c r="H19" s="199" t="e">
        <f>'Major-2 (Competencies)'!#REF!</f>
        <v>#REF!</v>
      </c>
      <c r="J19" s="207" t="e">
        <f>E19/$E$26</f>
        <v>#REF!</v>
      </c>
      <c r="K19" s="225" t="e">
        <f t="shared" ref="K19:K25" si="6">F19/$F$26</f>
        <v>#REF!</v>
      </c>
      <c r="L19" s="207" t="e">
        <f t="shared" ref="L19:L25" si="7">G19/$G$26</f>
        <v>#REF!</v>
      </c>
      <c r="M19" s="225" t="e">
        <f>H19/$H$26</f>
        <v>#REF!</v>
      </c>
    </row>
    <row r="20" spans="2:13" x14ac:dyDescent="0.3">
      <c r="B20" s="213"/>
      <c r="C20" s="205" t="s">
        <v>227</v>
      </c>
      <c r="D20" s="206" t="s">
        <v>220</v>
      </c>
      <c r="E20" s="199" t="e">
        <f>'Major-1 (Competencies)'!#REF!</f>
        <v>#REF!</v>
      </c>
      <c r="F20" s="199" t="e">
        <f>'Major-1 (Competencies)'!#REF!</f>
        <v>#REF!</v>
      </c>
      <c r="G20" s="199" t="e">
        <f>'Major-2 (Competencies)'!#REF!</f>
        <v>#REF!</v>
      </c>
      <c r="H20" s="199" t="e">
        <f>'Major-2 (Competencies)'!#REF!</f>
        <v>#REF!</v>
      </c>
      <c r="J20" s="207" t="e">
        <f t="shared" ref="J20:J25" si="8">E20/$E$26</f>
        <v>#REF!</v>
      </c>
      <c r="K20" s="225" t="e">
        <f t="shared" si="6"/>
        <v>#REF!</v>
      </c>
      <c r="L20" s="207" t="e">
        <f t="shared" si="7"/>
        <v>#REF!</v>
      </c>
      <c r="M20" s="225" t="e">
        <f t="shared" ref="M20:M25" si="9">H20/$H$26</f>
        <v>#REF!</v>
      </c>
    </row>
    <row r="21" spans="2:13" x14ac:dyDescent="0.3">
      <c r="B21" s="214"/>
      <c r="C21" s="205" t="s">
        <v>228</v>
      </c>
      <c r="D21" s="206" t="s">
        <v>221</v>
      </c>
      <c r="E21" s="199" t="e">
        <f>'Major-1 (Competencies)'!#REF!</f>
        <v>#REF!</v>
      </c>
      <c r="F21" s="199" t="e">
        <f>'Major-1 (Competencies)'!#REF!</f>
        <v>#REF!</v>
      </c>
      <c r="G21" s="199" t="e">
        <f>'Major-2 (Competencies)'!#REF!</f>
        <v>#REF!</v>
      </c>
      <c r="H21" s="199" t="e">
        <f>'Major-2 (Competencies)'!#REF!</f>
        <v>#REF!</v>
      </c>
      <c r="J21" s="207" t="e">
        <f t="shared" si="8"/>
        <v>#REF!</v>
      </c>
      <c r="K21" s="225" t="e">
        <f t="shared" si="6"/>
        <v>#REF!</v>
      </c>
      <c r="L21" s="207" t="e">
        <f t="shared" si="7"/>
        <v>#REF!</v>
      </c>
      <c r="M21" s="225" t="e">
        <f t="shared" si="9"/>
        <v>#REF!</v>
      </c>
    </row>
    <row r="22" spans="2:13" x14ac:dyDescent="0.3">
      <c r="B22" s="215"/>
      <c r="C22" s="205" t="s">
        <v>229</v>
      </c>
      <c r="D22" s="206" t="s">
        <v>222</v>
      </c>
      <c r="E22" s="199" t="e">
        <f>'Major-1 (Competencies)'!#REF!</f>
        <v>#REF!</v>
      </c>
      <c r="F22" s="199" t="e">
        <f>'Major-1 (Competencies)'!#REF!</f>
        <v>#REF!</v>
      </c>
      <c r="G22" s="199" t="e">
        <f>'Major-2 (Competencies)'!#REF!</f>
        <v>#REF!</v>
      </c>
      <c r="H22" s="199" t="e">
        <f>'Major-2 (Competencies)'!#REF!</f>
        <v>#REF!</v>
      </c>
      <c r="J22" s="207" t="e">
        <f t="shared" si="8"/>
        <v>#REF!</v>
      </c>
      <c r="K22" s="225" t="e">
        <f t="shared" si="6"/>
        <v>#REF!</v>
      </c>
      <c r="L22" s="207" t="e">
        <f t="shared" si="7"/>
        <v>#REF!</v>
      </c>
      <c r="M22" s="225" t="e">
        <f t="shared" si="9"/>
        <v>#REF!</v>
      </c>
    </row>
    <row r="23" spans="2:13" x14ac:dyDescent="0.3">
      <c r="B23" s="216"/>
      <c r="C23" s="205" t="s">
        <v>230</v>
      </c>
      <c r="D23" s="206" t="s">
        <v>223</v>
      </c>
      <c r="E23" s="199" t="e">
        <f>'Major-1 (Competencies)'!#REF!</f>
        <v>#REF!</v>
      </c>
      <c r="F23" s="199" t="e">
        <f>'Major-1 (Competencies)'!#REF!</f>
        <v>#REF!</v>
      </c>
      <c r="G23" s="199" t="e">
        <f>'Major-2 (Competencies)'!#REF!</f>
        <v>#REF!</v>
      </c>
      <c r="H23" s="199" t="e">
        <f>'Major-2 (Competencies)'!#REF!</f>
        <v>#REF!</v>
      </c>
      <c r="J23" s="207" t="e">
        <f t="shared" si="8"/>
        <v>#REF!</v>
      </c>
      <c r="K23" s="225" t="e">
        <f t="shared" si="6"/>
        <v>#REF!</v>
      </c>
      <c r="L23" s="207" t="e">
        <f t="shared" si="7"/>
        <v>#REF!</v>
      </c>
      <c r="M23" s="225" t="e">
        <f t="shared" si="9"/>
        <v>#REF!</v>
      </c>
    </row>
    <row r="24" spans="2:13" x14ac:dyDescent="0.3">
      <c r="B24" s="217"/>
      <c r="C24" s="205" t="s">
        <v>231</v>
      </c>
      <c r="D24" s="206" t="s">
        <v>224</v>
      </c>
      <c r="E24" s="199" t="e">
        <f>'Major-1 (Competencies)'!#REF!</f>
        <v>#REF!</v>
      </c>
      <c r="F24" s="199" t="e">
        <f>'Major-1 (Competencies)'!#REF!</f>
        <v>#REF!</v>
      </c>
      <c r="G24" s="199" t="e">
        <f>'Major-2 (Competencies)'!#REF!</f>
        <v>#REF!</v>
      </c>
      <c r="H24" s="199" t="e">
        <f>'Major-2 (Competencies)'!#REF!</f>
        <v>#REF!</v>
      </c>
      <c r="J24" s="207" t="e">
        <f t="shared" si="8"/>
        <v>#REF!</v>
      </c>
      <c r="K24" s="225" t="e">
        <f t="shared" si="6"/>
        <v>#REF!</v>
      </c>
      <c r="L24" s="207" t="e">
        <f t="shared" si="7"/>
        <v>#REF!</v>
      </c>
      <c r="M24" s="225" t="e">
        <f t="shared" si="9"/>
        <v>#REF!</v>
      </c>
    </row>
    <row r="25" spans="2:13" x14ac:dyDescent="0.3">
      <c r="B25" s="218"/>
      <c r="C25" s="205" t="s">
        <v>232</v>
      </c>
      <c r="D25" s="206" t="s">
        <v>225</v>
      </c>
      <c r="E25" s="199" t="e">
        <f>'Major-1 (Competencies)'!#REF!</f>
        <v>#REF!</v>
      </c>
      <c r="F25" s="199" t="e">
        <f>'Major-1 (Competencies)'!#REF!</f>
        <v>#REF!</v>
      </c>
      <c r="G25" s="199" t="e">
        <f>'Major-2 (Competencies)'!#REF!</f>
        <v>#REF!</v>
      </c>
      <c r="H25" s="199" t="e">
        <f>'Major-2 (Competencies)'!#REF!</f>
        <v>#REF!</v>
      </c>
      <c r="J25" s="207" t="e">
        <f t="shared" si="8"/>
        <v>#REF!</v>
      </c>
      <c r="K25" s="225" t="e">
        <f t="shared" si="6"/>
        <v>#REF!</v>
      </c>
      <c r="L25" s="207" t="e">
        <f t="shared" si="7"/>
        <v>#REF!</v>
      </c>
      <c r="M25" s="225" t="e">
        <f t="shared" si="9"/>
        <v>#REF!</v>
      </c>
    </row>
    <row r="26" spans="2:13" x14ac:dyDescent="0.3">
      <c r="D26" s="38"/>
      <c r="E26" s="208" t="e">
        <f>SUM(E19:E25)</f>
        <v>#REF!</v>
      </c>
      <c r="F26" s="208" t="e">
        <f>SUM(F19:F25)</f>
        <v>#REF!</v>
      </c>
      <c r="G26" s="208" t="e">
        <f>SUM(G19:G25)</f>
        <v>#REF!</v>
      </c>
      <c r="H26" s="208" t="e">
        <f t="shared" ref="H26" si="10">SUM(H19:H25)</f>
        <v>#REF!</v>
      </c>
      <c r="J26" s="209" t="e">
        <f>SUM(J19:J25)</f>
        <v>#REF!</v>
      </c>
      <c r="K26" s="209" t="e">
        <f>SUM(K19:K25)</f>
        <v>#REF!</v>
      </c>
      <c r="L26" s="209" t="e">
        <f>SUM(L19:L25)</f>
        <v>#REF!</v>
      </c>
      <c r="M26" s="209" t="e">
        <f t="shared" ref="M26" si="11">SUM(M19:M25)</f>
        <v>#REF!</v>
      </c>
    </row>
  </sheetData>
  <pageMargins left="0.7" right="0.7" top="0.75" bottom="0.75" header="0.3" footer="0.3"/>
  <pageSetup orientation="portrait" r:id="rId1"/>
  <ignoredErrors>
    <ignoredError sqref="K9:K14 L9:L14 O11:P11" formula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Major-1 (NARS)</vt:lpstr>
      <vt:lpstr>Major-1 (Competencies)</vt:lpstr>
      <vt:lpstr>CCE Major-1 (8 S)</vt:lpstr>
      <vt:lpstr>CCE Major-1 (7 S)</vt:lpstr>
      <vt:lpstr>CE Minor</vt:lpstr>
      <vt:lpstr>List of Courses</vt:lpstr>
      <vt:lpstr>Major-2 (NARS)</vt:lpstr>
      <vt:lpstr>Major-2 (Competencies)</vt:lpstr>
      <vt:lpstr>CCE Major-2 (8 S)</vt:lpstr>
      <vt:lpstr>CCE Major-2 (7 S) (new)</vt:lpstr>
      <vt:lpstr>Statistics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dr yasser</dc:creator>
  <cp:keywords/>
  <dc:description/>
  <cp:lastModifiedBy>Sherif S. AbdelSalam</cp:lastModifiedBy>
  <cp:revision/>
  <dcterms:created xsi:type="dcterms:W3CDTF">2022-09-28T14:40:43Z</dcterms:created>
  <dcterms:modified xsi:type="dcterms:W3CDTF">2025-07-30T12:26:24Z</dcterms:modified>
  <cp:category/>
  <cp:contentStatus/>
</cp:coreProperties>
</file>